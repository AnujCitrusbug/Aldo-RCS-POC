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<sst xmlns="http://schemas.openxmlformats.org/spreadsheetml/2006/main" count="321" uniqueCount="94">
  <si>
    <t xml:space="preserve">SAMPLE ROUTES</t>
  </si>
  <si>
    <t xml:space="preserve">ORIGIN CITY</t>
  </si>
  <si>
    <t xml:space="preserve">ORIGIN STATE</t>
  </si>
  <si>
    <t xml:space="preserve">ORIGIN ZIPCODE</t>
  </si>
  <si>
    <t xml:space="preserve">DEST CITY</t>
  </si>
  <si>
    <t xml:space="preserve">DEST STATE</t>
  </si>
  <si>
    <t xml:space="preserve">DEST ZIPCODE</t>
  </si>
  <si>
    <t xml:space="preserve">DISTANCE</t>
  </si>
  <si>
    <t xml:space="preserve">Addison</t>
  </si>
  <si>
    <t xml:space="preserve">TX</t>
  </si>
  <si>
    <t xml:space="preserve">Galveston</t>
  </si>
  <si>
    <t xml:space="preserve">Denton</t>
  </si>
  <si>
    <t xml:space="preserve">Baytown</t>
  </si>
  <si>
    <t xml:space="preserve">Big Spring</t>
  </si>
  <si>
    <t xml:space="preserve">METRO DEFINITIONS</t>
  </si>
  <si>
    <t xml:space="preserve">State</t>
  </si>
  <si>
    <t xml:space="preserve">Metro_Area</t>
  </si>
  <si>
    <t xml:space="preserve">Population</t>
  </si>
  <si>
    <t xml:space="preserve">Latitude</t>
  </si>
  <si>
    <t xml:space="preserve">Longitude</t>
  </si>
  <si>
    <t xml:space="preserve">radius_miles</t>
  </si>
  <si>
    <t xml:space="preserve">is_port</t>
  </si>
  <si>
    <t xml:space="preserve">Abilene, TX</t>
  </si>
  <si>
    <t xml:space="preserve">Amarillo, TX</t>
  </si>
  <si>
    <t xml:space="preserve">Arlington, TX</t>
  </si>
  <si>
    <t xml:space="preserve">Austin, TX</t>
  </si>
  <si>
    <t xml:space="preserve">Beaumont, TX</t>
  </si>
  <si>
    <t xml:space="preserve">Brownsville, TX</t>
  </si>
  <si>
    <t xml:space="preserve">College Station, TX</t>
  </si>
  <si>
    <t xml:space="preserve">Corpus Christi, TX</t>
  </si>
  <si>
    <t xml:space="preserve">Dallas, TX</t>
  </si>
  <si>
    <t xml:space="preserve">El Paso, TX</t>
  </si>
  <si>
    <t xml:space="preserve">Fort Worth, TX</t>
  </si>
  <si>
    <t xml:space="preserve">Galveston, TX</t>
  </si>
  <si>
    <t xml:space="preserve">Georgetown, TX</t>
  </si>
  <si>
    <t xml:space="preserve">Houston, TX</t>
  </si>
  <si>
    <t xml:space="preserve">Killeen, TX</t>
  </si>
  <si>
    <t xml:space="preserve">Laredo, TX</t>
  </si>
  <si>
    <t xml:space="preserve">Longview, TX</t>
  </si>
  <si>
    <t xml:space="preserve">Lubbock, TX</t>
  </si>
  <si>
    <t xml:space="preserve">McAllen, TX</t>
  </si>
  <si>
    <t xml:space="preserve">Midland, TX</t>
  </si>
  <si>
    <t xml:space="preserve">Odessa, TX</t>
  </si>
  <si>
    <t xml:space="preserve">San Angelo, TX</t>
  </si>
  <si>
    <t xml:space="preserve">San Antonio, TX</t>
  </si>
  <si>
    <t xml:space="preserve">Sugar Land, TX</t>
  </si>
  <si>
    <t xml:space="preserve">Temple, TX</t>
  </si>
  <si>
    <t xml:space="preserve">Texarkana, TX</t>
  </si>
  <si>
    <t xml:space="preserve">The Woodlands, TX</t>
  </si>
  <si>
    <t xml:space="preserve">Tyler, TX</t>
  </si>
  <si>
    <t xml:space="preserve">Waco, TX</t>
  </si>
  <si>
    <t xml:space="preserve">Wichita Falls, TX</t>
  </si>
  <si>
    <t xml:space="preserve">ZIPCODE TO METRO ASSIGNMENT</t>
  </si>
  <si>
    <t xml:space="preserve">Zip_Code</t>
  </si>
  <si>
    <t xml:space="preserve">City</t>
  </si>
  <si>
    <t xml:space="preserve">Nearest_Metro_City</t>
  </si>
  <si>
    <t xml:space="preserve">Nearest_Metro_State</t>
  </si>
  <si>
    <t xml:space="preserve">Latitude.1</t>
  </si>
  <si>
    <t xml:space="preserve">Longitude.1</t>
  </si>
  <si>
    <t xml:space="preserve">Driving_Distance_Miles</t>
  </si>
  <si>
    <t xml:space="preserve">Arlington</t>
  </si>
  <si>
    <t xml:space="preserve">TRANSCAR HISTORICAL DATA:</t>
  </si>
  <si>
    <t xml:space="preserve">Date</t>
  </si>
  <si>
    <t xml:space="preserve">Pickup ZIP</t>
  </si>
  <si>
    <t xml:space="preserve">Pickup City</t>
  </si>
  <si>
    <t xml:space="preserve">Pickup State</t>
  </si>
  <si>
    <t xml:space="preserve">Delivery ZIP</t>
  </si>
  <si>
    <t xml:space="preserve">Delivery City</t>
  </si>
  <si>
    <t xml:space="preserve">Delivery State</t>
  </si>
  <si>
    <t xml:space="preserve">Vehicle Type</t>
  </si>
  <si>
    <t xml:space="preserve">Distance</t>
  </si>
  <si>
    <t xml:space="preserve">Total Carrier Price</t>
  </si>
  <si>
    <t xml:space="preserve">Total Price per Mile</t>
  </si>
  <si>
    <t xml:space="preserve">Car - Sedan</t>
  </si>
  <si>
    <t xml:space="preserve">SUV - Medium</t>
  </si>
  <si>
    <t xml:space="preserve">Truck - Large</t>
  </si>
  <si>
    <t xml:space="preserve">Houston</t>
  </si>
  <si>
    <t xml:space="preserve">Dallas</t>
  </si>
  <si>
    <t xml:space="preserve">Lubbock</t>
  </si>
  <si>
    <t xml:space="preserve">San Angelo</t>
  </si>
  <si>
    <t xml:space="preserve">Car - Small</t>
  </si>
  <si>
    <t xml:space="preserve">COMPETITOR DATA</t>
  </si>
  <si>
    <t xml:space="preserve">Origin City</t>
  </si>
  <si>
    <t xml:space="preserve">Origin Zipcode</t>
  </si>
  <si>
    <t xml:space="preserve">Origin State</t>
  </si>
  <si>
    <t xml:space="preserve">Destination City</t>
  </si>
  <si>
    <t xml:space="preserve">Dest Zipcode</t>
  </si>
  <si>
    <t xml:space="preserve">Dest State</t>
  </si>
  <si>
    <t xml:space="preserve">vehicle_type</t>
  </si>
  <si>
    <t xml:space="preserve">competitor price minus profit</t>
  </si>
  <si>
    <t xml:space="preserve">competitor price per Mile</t>
  </si>
  <si>
    <t xml:space="preserve">sedan</t>
  </si>
  <si>
    <t xml:space="preserve">Austin</t>
  </si>
  <si>
    <t xml:space="preserve">Corpus Christi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</si>
</sst>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/d/yyyy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7.56"/>
    <col collapsed="false" customWidth="true" hidden="false" outlineLevel="0" max="3" min="3" style="0" width="11.15"/>
    <col collapsed="false" customWidth="true" hidden="false" outlineLevel="0" max="4" min="4" style="0" width="13.86"/>
    <col collapsed="false" customWidth="true" hidden="false" outlineLevel="0" max="5" min="5" style="0" width="12.41"/>
    <col collapsed="false" customWidth="true" hidden="false" outlineLevel="0" max="6" min="6" style="0" width="17.93"/>
    <col collapsed="false" customWidth="true" hidden="false" outlineLevel="0" max="7" min="7" style="0" width="18.91"/>
    <col collapsed="false" customWidth="true" hidden="false" outlineLevel="0" max="8" min="8" style="0" width="13.52"/>
    <col collapsed="false" customWidth="true" hidden="false" outlineLevel="0" max="9" min="9" style="0" width="16.67"/>
    <col collapsed="false" customWidth="true" hidden="false" outlineLevel="0" max="10" min="10" style="0" width="19.73"/>
    <col collapsed="false" customWidth="true" hidden="false" outlineLevel="0" max="11" min="11" style="0" width="14.94"/>
  </cols>
  <sheetData>
    <row r="2" customFormat="false" ht="15" hidden="false" customHeight="false" outlineLevel="0" collapsed="false">
      <c r="A2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75001</v>
      </c>
      <c r="D4" s="0" t="s">
        <v>10</v>
      </c>
      <c r="E4" s="0" t="s">
        <v>9</v>
      </c>
      <c r="F4" s="0" t="n">
        <v>77550</v>
      </c>
      <c r="G4" s="0" t="n">
        <v>305</v>
      </c>
    </row>
    <row r="5" customFormat="false" ht="15" hidden="false" customHeight="false" outlineLevel="0" collapsed="false">
      <c r="A5" s="0" t="s">
        <v>11</v>
      </c>
      <c r="B5" s="0" t="s">
        <v>9</v>
      </c>
      <c r="C5" s="0" t="n">
        <v>76201</v>
      </c>
      <c r="D5" s="0" t="s">
        <v>12</v>
      </c>
      <c r="E5" s="0" t="s">
        <v>9</v>
      </c>
      <c r="F5" s="0" t="n">
        <v>77523</v>
      </c>
      <c r="G5" s="0" t="n">
        <v>302</v>
      </c>
    </row>
    <row r="6" customFormat="false" ht="15" hidden="false" customHeight="false" outlineLevel="0" collapsed="false">
      <c r="A6" s="0" t="s">
        <v>10</v>
      </c>
      <c r="B6" s="0" t="s">
        <v>9</v>
      </c>
      <c r="C6" s="0" t="n">
        <v>77550</v>
      </c>
      <c r="D6" s="0" t="s">
        <v>13</v>
      </c>
      <c r="E6" s="0" t="s">
        <v>9</v>
      </c>
      <c r="F6" s="0" t="n">
        <v>79720</v>
      </c>
      <c r="G6" s="0" t="n">
        <v>511</v>
      </c>
    </row>
    <row r="10" customFormat="false" ht="15" hidden="false" customHeight="false" outlineLevel="0" collapsed="false">
      <c r="A10" s="0" t="s">
        <v>14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s">
        <v>17</v>
      </c>
      <c r="D11" s="0" t="s">
        <v>18</v>
      </c>
      <c r="E11" s="0" t="s">
        <v>19</v>
      </c>
      <c r="F11" s="0" t="s">
        <v>20</v>
      </c>
      <c r="G11" s="0" t="s">
        <v>21</v>
      </c>
    </row>
    <row r="12" customFormat="false" ht="15" hidden="false" customHeight="false" outlineLevel="0" collapsed="false">
      <c r="A12" s="0" t="s">
        <v>9</v>
      </c>
      <c r="B12" s="0" t="s">
        <v>22</v>
      </c>
      <c r="C12" s="0" t="n">
        <v>171451</v>
      </c>
      <c r="D12" s="0" t="n">
        <v>32.4487</v>
      </c>
      <c r="E12" s="0" t="n">
        <v>-99.7331</v>
      </c>
      <c r="F12" s="0" t="n">
        <v>15</v>
      </c>
      <c r="G12" s="1" t="b">
        <f aca="false">FALSE()</f>
        <v>0</v>
      </c>
    </row>
    <row r="13" customFormat="false" ht="15" hidden="false" customHeight="false" outlineLevel="0" collapsed="false">
      <c r="A13" s="0" t="s">
        <v>9</v>
      </c>
      <c r="B13" s="0" t="s">
        <v>23</v>
      </c>
      <c r="C13" s="0" t="n">
        <v>264345</v>
      </c>
      <c r="D13" s="0" t="n">
        <v>35.222</v>
      </c>
      <c r="E13" s="0" t="n">
        <v>-101.8313</v>
      </c>
      <c r="F13" s="0" t="n">
        <v>20</v>
      </c>
      <c r="G13" s="1" t="b">
        <f aca="false">FALSE()</f>
        <v>0</v>
      </c>
    </row>
    <row r="14" customFormat="false" ht="15" hidden="false" customHeight="false" outlineLevel="0" collapsed="false">
      <c r="A14" s="0" t="s">
        <v>9</v>
      </c>
      <c r="B14" s="0" t="s">
        <v>24</v>
      </c>
      <c r="C14" s="0" t="n">
        <v>200000</v>
      </c>
      <c r="D14" s="0" t="n">
        <v>32.7357</v>
      </c>
      <c r="E14" s="0" t="n">
        <v>-97.1081</v>
      </c>
      <c r="F14" s="0" t="n">
        <v>15</v>
      </c>
      <c r="G14" s="1" t="b">
        <f aca="false">FALSE()</f>
        <v>0</v>
      </c>
    </row>
    <row r="15" customFormat="false" ht="15" hidden="false" customHeight="false" outlineLevel="0" collapsed="false">
      <c r="A15" s="0" t="s">
        <v>9</v>
      </c>
      <c r="B15" s="0" t="s">
        <v>25</v>
      </c>
      <c r="C15" s="0" t="n">
        <v>2352426</v>
      </c>
      <c r="D15" s="0" t="n">
        <v>30.2672</v>
      </c>
      <c r="E15" s="0" t="n">
        <v>-97.7431</v>
      </c>
      <c r="F15" s="0" t="n">
        <v>25</v>
      </c>
      <c r="G15" s="1" t="b">
        <f aca="false">FALSE()</f>
        <v>0</v>
      </c>
    </row>
    <row r="16" customFormat="false" ht="15" hidden="false" customHeight="false" outlineLevel="0" collapsed="false">
      <c r="A16" s="0" t="s">
        <v>9</v>
      </c>
      <c r="B16" s="0" t="s">
        <v>26</v>
      </c>
      <c r="C16" s="0" t="n">
        <v>391805</v>
      </c>
      <c r="D16" s="0" t="n">
        <v>30.0802</v>
      </c>
      <c r="E16" s="0" t="n">
        <v>-94.1266</v>
      </c>
      <c r="F16" s="0" t="n">
        <v>20</v>
      </c>
      <c r="G16" s="1" t="b">
        <f aca="false">FALSE()</f>
        <v>0</v>
      </c>
    </row>
    <row r="17" customFormat="false" ht="15" hidden="false" customHeight="false" outlineLevel="0" collapsed="false">
      <c r="A17" s="0" t="s">
        <v>9</v>
      </c>
      <c r="B17" s="0" t="s">
        <v>27</v>
      </c>
      <c r="C17" s="0" t="n">
        <v>423725</v>
      </c>
      <c r="D17" s="0" t="n">
        <v>25.9017</v>
      </c>
      <c r="E17" s="0" t="n">
        <v>-97.4975</v>
      </c>
      <c r="F17" s="0" t="n">
        <v>20</v>
      </c>
      <c r="G17" s="1" t="b">
        <f aca="false">FALSE()</f>
        <v>0</v>
      </c>
    </row>
    <row r="18" customFormat="false" ht="15" hidden="false" customHeight="false" outlineLevel="0" collapsed="false">
      <c r="A18" s="0" t="s">
        <v>9</v>
      </c>
      <c r="B18" s="0" t="s">
        <v>28</v>
      </c>
      <c r="C18" s="0" t="n">
        <v>273101</v>
      </c>
      <c r="D18" s="0" t="n">
        <v>30.628</v>
      </c>
      <c r="E18" s="0" t="n">
        <v>-96.3344</v>
      </c>
      <c r="F18" s="0" t="n">
        <v>20</v>
      </c>
      <c r="G18" s="1" t="b">
        <f aca="false">FALSE()</f>
        <v>0</v>
      </c>
    </row>
    <row r="19" customFormat="false" ht="15" hidden="false" customHeight="false" outlineLevel="0" collapsed="false">
      <c r="A19" s="0" t="s">
        <v>9</v>
      </c>
      <c r="B19" s="0" t="s">
        <v>29</v>
      </c>
      <c r="C19" s="0" t="n">
        <v>429024</v>
      </c>
      <c r="D19" s="0" t="n">
        <v>27.8006</v>
      </c>
      <c r="E19" s="0" t="n">
        <v>-97.3964</v>
      </c>
      <c r="F19" s="0" t="n">
        <v>20</v>
      </c>
      <c r="G19" s="1" t="b">
        <f aca="false">FALSE()</f>
        <v>0</v>
      </c>
    </row>
    <row r="20" customFormat="false" ht="15" hidden="false" customHeight="false" outlineLevel="0" collapsed="false">
      <c r="A20" s="0" t="s">
        <v>9</v>
      </c>
      <c r="B20" s="0" t="s">
        <v>30</v>
      </c>
      <c r="C20" s="0" t="n">
        <v>7637387</v>
      </c>
      <c r="D20" s="0" t="n">
        <v>32.7767</v>
      </c>
      <c r="E20" s="0" t="n">
        <v>-96.797</v>
      </c>
      <c r="F20" s="0" t="n">
        <v>25</v>
      </c>
      <c r="G20" s="1" t="b">
        <f aca="false">FALSE()</f>
        <v>0</v>
      </c>
    </row>
    <row r="21" customFormat="false" ht="15" hidden="false" customHeight="false" outlineLevel="0" collapsed="false">
      <c r="A21" s="0" t="s">
        <v>9</v>
      </c>
      <c r="B21" s="0" t="s">
        <v>31</v>
      </c>
      <c r="C21" s="0" t="n">
        <v>868859</v>
      </c>
      <c r="D21" s="0" t="n">
        <v>31.7619</v>
      </c>
      <c r="E21" s="0" t="n">
        <v>-106.485</v>
      </c>
      <c r="F21" s="0" t="n">
        <v>25</v>
      </c>
      <c r="G21" s="1" t="b">
        <f aca="false">FALSE()</f>
        <v>0</v>
      </c>
    </row>
    <row r="22" customFormat="false" ht="15" hidden="false" customHeight="false" outlineLevel="0" collapsed="false">
      <c r="A22" s="0" t="s">
        <v>9</v>
      </c>
      <c r="B22" s="0" t="s">
        <v>32</v>
      </c>
      <c r="C22" s="0" t="n">
        <v>2500000</v>
      </c>
      <c r="D22" s="0" t="n">
        <v>32.7555</v>
      </c>
      <c r="E22" s="0" t="n">
        <v>-97.3308</v>
      </c>
      <c r="F22" s="0" t="n">
        <v>25</v>
      </c>
      <c r="G22" s="1" t="b">
        <f aca="false">FALSE()</f>
        <v>0</v>
      </c>
    </row>
    <row r="23" customFormat="false" ht="15" hidden="false" customHeight="false" outlineLevel="0" collapsed="false">
      <c r="A23" s="0" t="s">
        <v>9</v>
      </c>
      <c r="B23" s="0" t="s">
        <v>33</v>
      </c>
      <c r="C23" s="0" t="n">
        <v>100000</v>
      </c>
      <c r="D23" s="0" t="n">
        <v>29.3013</v>
      </c>
      <c r="E23" s="0" t="n">
        <v>-94.7977</v>
      </c>
      <c r="F23" s="0" t="n">
        <v>15</v>
      </c>
      <c r="G23" s="1" t="b">
        <f aca="false">TRUE()</f>
        <v>1</v>
      </c>
    </row>
    <row r="24" customFormat="false" ht="15" hidden="false" customHeight="false" outlineLevel="0" collapsed="false">
      <c r="A24" s="0" t="s">
        <v>9</v>
      </c>
      <c r="B24" s="0" t="s">
        <v>34</v>
      </c>
      <c r="C24" s="0" t="n">
        <v>200000</v>
      </c>
      <c r="D24" s="0" t="n">
        <v>30.6333</v>
      </c>
      <c r="E24" s="0" t="n">
        <v>-97.678</v>
      </c>
      <c r="F24" s="0" t="n">
        <v>15</v>
      </c>
      <c r="G24" s="1" t="b">
        <f aca="false">FALSE()</f>
        <v>0</v>
      </c>
    </row>
    <row r="25" customFormat="false" ht="15" hidden="false" customHeight="false" outlineLevel="0" collapsed="false">
      <c r="A25" s="0" t="s">
        <v>9</v>
      </c>
      <c r="B25" s="0" t="s">
        <v>35</v>
      </c>
      <c r="C25" s="0" t="n">
        <v>7122240</v>
      </c>
      <c r="D25" s="0" t="n">
        <v>29.7604</v>
      </c>
      <c r="E25" s="0" t="n">
        <v>-95.3698</v>
      </c>
      <c r="F25" s="0" t="n">
        <v>25</v>
      </c>
      <c r="G25" s="1" t="b">
        <f aca="false">FALSE()</f>
        <v>0</v>
      </c>
    </row>
    <row r="26" customFormat="false" ht="15" hidden="false" customHeight="false" outlineLevel="0" collapsed="false">
      <c r="A26" s="0" t="s">
        <v>9</v>
      </c>
      <c r="B26" s="0" t="s">
        <v>36</v>
      </c>
      <c r="C26" s="0" t="n">
        <v>200000</v>
      </c>
      <c r="D26" s="0" t="n">
        <v>31.1171</v>
      </c>
      <c r="E26" s="0" t="n">
        <v>-97.7278</v>
      </c>
      <c r="F26" s="0" t="n">
        <v>15</v>
      </c>
      <c r="G26" s="1" t="b">
        <f aca="false">FALSE()</f>
        <v>0</v>
      </c>
    </row>
    <row r="27" customFormat="false" ht="15" hidden="false" customHeight="false" outlineLevel="0" collapsed="false">
      <c r="A27" s="0" t="s">
        <v>9</v>
      </c>
      <c r="B27" s="0" t="s">
        <v>37</v>
      </c>
      <c r="C27" s="0" t="n">
        <v>267114</v>
      </c>
      <c r="D27" s="0" t="n">
        <v>27.5036</v>
      </c>
      <c r="E27" s="0" t="n">
        <v>-99.5075</v>
      </c>
      <c r="F27" s="0" t="n">
        <v>20</v>
      </c>
      <c r="G27" s="1" t="b">
        <f aca="false">FALSE()</f>
        <v>0</v>
      </c>
    </row>
    <row r="28" customFormat="false" ht="15" hidden="false" customHeight="false" outlineLevel="0" collapsed="false">
      <c r="A28" s="0" t="s">
        <v>9</v>
      </c>
      <c r="B28" s="0" t="s">
        <v>38</v>
      </c>
      <c r="C28" s="0" t="n">
        <v>286657</v>
      </c>
      <c r="D28" s="0" t="n">
        <v>32.5007</v>
      </c>
      <c r="E28" s="0" t="n">
        <v>-94.7405</v>
      </c>
      <c r="F28" s="0" t="n">
        <v>20</v>
      </c>
      <c r="G28" s="1" t="b">
        <f aca="false">FALSE()</f>
        <v>0</v>
      </c>
    </row>
    <row r="29" customFormat="false" ht="15" hidden="false" customHeight="false" outlineLevel="0" collapsed="false">
      <c r="A29" s="0" t="s">
        <v>9</v>
      </c>
      <c r="B29" s="0" t="s">
        <v>39</v>
      </c>
      <c r="C29" s="0" t="n">
        <v>327424</v>
      </c>
      <c r="D29" s="0" t="n">
        <v>33.5779</v>
      </c>
      <c r="E29" s="0" t="n">
        <v>-101.8552</v>
      </c>
      <c r="F29" s="0" t="n">
        <v>20</v>
      </c>
      <c r="G29" s="1" t="b">
        <f aca="false">FALSE()</f>
        <v>0</v>
      </c>
    </row>
    <row r="30" customFormat="false" ht="15" hidden="false" customHeight="false" outlineLevel="0" collapsed="false">
      <c r="A30" s="0" t="s">
        <v>9</v>
      </c>
      <c r="B30" s="0" t="s">
        <v>40</v>
      </c>
      <c r="C30" s="0" t="n">
        <v>868707</v>
      </c>
      <c r="D30" s="0" t="n">
        <v>26.2034</v>
      </c>
      <c r="E30" s="0" t="n">
        <v>-98.23</v>
      </c>
      <c r="F30" s="0" t="n">
        <v>25</v>
      </c>
      <c r="G30" s="1" t="b">
        <f aca="false">FALSE()</f>
        <v>0</v>
      </c>
    </row>
    <row r="31" customFormat="false" ht="15" hidden="false" customHeight="false" outlineLevel="0" collapsed="false">
      <c r="A31" s="0" t="s">
        <v>9</v>
      </c>
      <c r="B31" s="0" t="s">
        <v>41</v>
      </c>
      <c r="C31" s="0" t="n">
        <v>169983</v>
      </c>
      <c r="D31" s="0" t="n">
        <v>31.9974</v>
      </c>
      <c r="E31" s="0" t="n">
        <v>-102.0779</v>
      </c>
      <c r="F31" s="0" t="n">
        <v>15</v>
      </c>
      <c r="G31" s="1" t="b">
        <f aca="false">FALSE()</f>
        <v>0</v>
      </c>
    </row>
    <row r="32" customFormat="false" ht="15" hidden="false" customHeight="false" outlineLevel="0" collapsed="false">
      <c r="A32" s="0" t="s">
        <v>9</v>
      </c>
      <c r="B32" s="0" t="s">
        <v>42</v>
      </c>
      <c r="C32" s="0" t="n">
        <v>165441</v>
      </c>
      <c r="D32" s="0" t="n">
        <v>31.8457</v>
      </c>
      <c r="E32" s="0" t="n">
        <v>-102.3677</v>
      </c>
      <c r="F32" s="0" t="n">
        <v>15</v>
      </c>
      <c r="G32" s="1" t="b">
        <f aca="false">FALSE()</f>
        <v>0</v>
      </c>
    </row>
    <row r="33" customFormat="false" ht="15" hidden="false" customHeight="false" outlineLevel="0" collapsed="false">
      <c r="A33" s="0" t="s">
        <v>9</v>
      </c>
      <c r="B33" s="0" t="s">
        <v>43</v>
      </c>
      <c r="C33" s="0" t="n">
        <v>120003</v>
      </c>
      <c r="D33" s="0" t="n">
        <v>31.4638</v>
      </c>
      <c r="E33" s="0" t="n">
        <v>-100.437</v>
      </c>
      <c r="F33" s="0" t="n">
        <v>15</v>
      </c>
      <c r="G33" s="1" t="b">
        <f aca="false">FALSE()</f>
        <v>0</v>
      </c>
    </row>
    <row r="34" customFormat="false" ht="15" hidden="false" customHeight="false" outlineLevel="0" collapsed="false">
      <c r="A34" s="0" t="s">
        <v>9</v>
      </c>
      <c r="B34" s="0" t="s">
        <v>44</v>
      </c>
      <c r="C34" s="0" t="n">
        <v>2558143</v>
      </c>
      <c r="D34" s="0" t="n">
        <v>29.4241</v>
      </c>
      <c r="E34" s="0" t="n">
        <v>-98.4936</v>
      </c>
      <c r="F34" s="0" t="n">
        <v>25</v>
      </c>
      <c r="G34" s="1" t="b">
        <f aca="false">FALSE()</f>
        <v>0</v>
      </c>
    </row>
    <row r="35" customFormat="false" ht="15" hidden="false" customHeight="false" outlineLevel="0" collapsed="false">
      <c r="A35" s="0" t="s">
        <v>9</v>
      </c>
      <c r="B35" s="0" t="s">
        <v>45</v>
      </c>
      <c r="C35" s="0" t="n">
        <v>150000</v>
      </c>
      <c r="D35" s="0" t="n">
        <v>29.6197</v>
      </c>
      <c r="E35" s="0" t="n">
        <v>-95.6349</v>
      </c>
      <c r="F35" s="0" t="n">
        <v>15</v>
      </c>
      <c r="G35" s="1" t="b">
        <f aca="false">FALSE()</f>
        <v>0</v>
      </c>
    </row>
    <row r="36" customFormat="false" ht="15" hidden="false" customHeight="false" outlineLevel="0" collapsed="false">
      <c r="A36" s="0" t="s">
        <v>9</v>
      </c>
      <c r="B36" s="0" t="s">
        <v>46</v>
      </c>
      <c r="C36" s="0" t="n">
        <v>250000</v>
      </c>
      <c r="D36" s="0" t="n">
        <v>31.0982</v>
      </c>
      <c r="E36" s="0" t="n">
        <v>-97.3428</v>
      </c>
      <c r="F36" s="0" t="n">
        <v>15</v>
      </c>
      <c r="G36" s="1" t="b">
        <f aca="false">FALSE()</f>
        <v>0</v>
      </c>
    </row>
    <row r="37" customFormat="false" ht="15" hidden="false" customHeight="false" outlineLevel="0" collapsed="false">
      <c r="A37" s="0" t="s">
        <v>9</v>
      </c>
      <c r="B37" s="0" t="s">
        <v>47</v>
      </c>
      <c r="C37" s="0" t="n">
        <v>150098</v>
      </c>
      <c r="D37" s="0" t="n">
        <v>33.4252</v>
      </c>
      <c r="E37" s="0" t="n">
        <v>-94.0476</v>
      </c>
      <c r="F37" s="0" t="n">
        <v>15</v>
      </c>
      <c r="G37" s="1" t="b">
        <f aca="false">FALSE()</f>
        <v>0</v>
      </c>
    </row>
    <row r="38" customFormat="false" ht="15" hidden="false" customHeight="false" outlineLevel="0" collapsed="false">
      <c r="A38" s="0" t="s">
        <v>9</v>
      </c>
      <c r="B38" s="0" t="s">
        <v>48</v>
      </c>
      <c r="C38" s="0" t="n">
        <v>250000</v>
      </c>
      <c r="D38" s="0" t="n">
        <v>30.1658</v>
      </c>
      <c r="E38" s="0" t="n">
        <v>-95.4613</v>
      </c>
      <c r="F38" s="0" t="n">
        <v>15</v>
      </c>
      <c r="G38" s="1" t="b">
        <f aca="false">FALSE()</f>
        <v>0</v>
      </c>
    </row>
    <row r="39" customFormat="false" ht="15" hidden="false" customHeight="false" outlineLevel="0" collapsed="false">
      <c r="A39" s="0" t="s">
        <v>9</v>
      </c>
      <c r="B39" s="0" t="s">
        <v>49</v>
      </c>
      <c r="C39" s="0" t="n">
        <v>230221</v>
      </c>
      <c r="D39" s="0" t="n">
        <v>32.3513</v>
      </c>
      <c r="E39" s="0" t="n">
        <v>-95.3011</v>
      </c>
      <c r="F39" s="0" t="n">
        <v>15</v>
      </c>
      <c r="G39" s="1" t="b">
        <f aca="false">FALSE()</f>
        <v>0</v>
      </c>
    </row>
    <row r="40" customFormat="false" ht="15" hidden="false" customHeight="false" outlineLevel="0" collapsed="false">
      <c r="A40" s="0" t="s">
        <v>9</v>
      </c>
      <c r="B40" s="0" t="s">
        <v>50</v>
      </c>
      <c r="C40" s="0" t="n">
        <v>276316</v>
      </c>
      <c r="D40" s="0" t="n">
        <v>31.5493</v>
      </c>
      <c r="E40" s="0" t="n">
        <v>-97.1467</v>
      </c>
      <c r="F40" s="0" t="n">
        <v>20</v>
      </c>
      <c r="G40" s="1" t="b">
        <f aca="false">FALSE()</f>
        <v>0</v>
      </c>
    </row>
    <row r="41" customFormat="false" ht="15" hidden="false" customHeight="false" outlineLevel="0" collapsed="false">
      <c r="A41" s="0" t="s">
        <v>9</v>
      </c>
      <c r="B41" s="0" t="s">
        <v>51</v>
      </c>
      <c r="C41" s="0" t="n">
        <v>151506</v>
      </c>
      <c r="D41" s="0" t="n">
        <v>33.9137</v>
      </c>
      <c r="E41" s="0" t="n">
        <v>-98.4934</v>
      </c>
      <c r="F41" s="0" t="n">
        <v>15</v>
      </c>
      <c r="G41" s="1" t="b">
        <f aca="false">FALSE()</f>
        <v>0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  <c r="B45" s="0" t="s">
        <v>54</v>
      </c>
      <c r="C45" s="0" t="s">
        <v>15</v>
      </c>
      <c r="D45" s="0" t="s">
        <v>18</v>
      </c>
      <c r="E45" s="0" t="s">
        <v>19</v>
      </c>
      <c r="F45" s="0" t="s">
        <v>55</v>
      </c>
      <c r="G45" s="0" t="s">
        <v>56</v>
      </c>
      <c r="H45" s="0" t="s">
        <v>57</v>
      </c>
      <c r="I45" s="0" t="s">
        <v>58</v>
      </c>
      <c r="J45" s="0" t="s">
        <v>59</v>
      </c>
    </row>
    <row r="46" customFormat="false" ht="15" hidden="false" customHeight="false" outlineLevel="0" collapsed="false">
      <c r="A46" s="0" t="n">
        <v>75001</v>
      </c>
      <c r="B46" s="0" t="s">
        <v>8</v>
      </c>
      <c r="C46" s="0" t="s">
        <v>9</v>
      </c>
      <c r="D46" s="0" t="n">
        <v>32.96015</v>
      </c>
      <c r="E46" s="0" t="n">
        <v>-96.83808</v>
      </c>
      <c r="F46" s="0" t="s">
        <v>30</v>
      </c>
      <c r="G46" s="0" t="s">
        <v>9</v>
      </c>
      <c r="H46" s="0" t="n">
        <v>32.7767</v>
      </c>
      <c r="I46" s="0" t="n">
        <v>-96.797</v>
      </c>
      <c r="J46" s="0" t="n">
        <v>15.09</v>
      </c>
    </row>
    <row r="47" customFormat="false" ht="15" hidden="false" customHeight="false" outlineLevel="0" collapsed="false">
      <c r="A47" s="0" t="n">
        <v>77550</v>
      </c>
      <c r="B47" s="0" t="s">
        <v>10</v>
      </c>
      <c r="C47" s="0" t="s">
        <v>9</v>
      </c>
      <c r="D47" s="0" t="n">
        <v>29.31021</v>
      </c>
      <c r="E47" s="0" t="n">
        <v>-94.77706</v>
      </c>
      <c r="F47" s="0" t="s">
        <v>33</v>
      </c>
      <c r="G47" s="0" t="s">
        <v>9</v>
      </c>
      <c r="H47" s="0" t="n">
        <v>29.3013</v>
      </c>
      <c r="I47" s="0" t="n">
        <v>-94.7977</v>
      </c>
      <c r="J47" s="0" t="n">
        <v>1.94</v>
      </c>
    </row>
    <row r="48" customFormat="false" ht="15" hidden="false" customHeight="false" outlineLevel="0" collapsed="false">
      <c r="A48" s="0" t="n">
        <v>76201</v>
      </c>
      <c r="B48" s="0" t="s">
        <v>11</v>
      </c>
      <c r="C48" s="0" t="s">
        <v>9</v>
      </c>
      <c r="D48" s="0" t="n">
        <v>33.22122</v>
      </c>
      <c r="E48" s="0" t="n">
        <v>-97.14715</v>
      </c>
      <c r="F48" s="0" t="s">
        <v>24</v>
      </c>
      <c r="G48" s="0" t="s">
        <v>9</v>
      </c>
      <c r="H48" s="0" t="n">
        <v>32.7357</v>
      </c>
      <c r="I48" s="0" t="n">
        <v>-97.1081</v>
      </c>
      <c r="J48" s="0" t="n">
        <v>46.76</v>
      </c>
    </row>
    <row r="49" customFormat="false" ht="15" hidden="false" customHeight="false" outlineLevel="0" collapsed="false">
      <c r="A49" s="0" t="n">
        <v>77523</v>
      </c>
      <c r="B49" s="0" t="s">
        <v>12</v>
      </c>
      <c r="C49" s="0" t="s">
        <v>9</v>
      </c>
      <c r="D49" s="0" t="n">
        <v>29.77598</v>
      </c>
      <c r="E49" s="0" t="n">
        <v>-94.8632</v>
      </c>
      <c r="F49" s="0" t="s">
        <v>35</v>
      </c>
      <c r="G49" s="0" t="s">
        <v>9</v>
      </c>
      <c r="H49" s="0" t="n">
        <v>29.7604</v>
      </c>
      <c r="I49" s="0" t="n">
        <v>-95.3698</v>
      </c>
      <c r="J49" s="0" t="n">
        <v>36.06</v>
      </c>
    </row>
    <row r="50" customFormat="false" ht="15" hidden="false" customHeight="false" outlineLevel="0" collapsed="false">
      <c r="A50" s="0" t="n">
        <v>76011</v>
      </c>
      <c r="B50" s="0" t="s">
        <v>60</v>
      </c>
      <c r="C50" s="0" t="s">
        <v>9</v>
      </c>
      <c r="D50" s="0" t="n">
        <v>32.7543</v>
      </c>
      <c r="E50" s="0" t="n">
        <v>-97.08223</v>
      </c>
      <c r="F50" s="0" t="s">
        <v>24</v>
      </c>
      <c r="G50" s="0" t="s">
        <v>9</v>
      </c>
      <c r="H50" s="0" t="n">
        <v>32.7357</v>
      </c>
      <c r="I50" s="0" t="n">
        <v>-97.1081</v>
      </c>
      <c r="J50" s="0" t="n">
        <v>2.83</v>
      </c>
    </row>
    <row r="51" customFormat="false" ht="15" hidden="false" customHeight="false" outlineLevel="0" collapsed="false">
      <c r="A51" s="0" t="n">
        <v>79720</v>
      </c>
      <c r="B51" s="0" t="s">
        <v>13</v>
      </c>
      <c r="C51" s="0" t="s">
        <v>9</v>
      </c>
      <c r="D51" s="0" t="n">
        <v>32.20171</v>
      </c>
      <c r="E51" s="0" t="n">
        <v>-101.51395</v>
      </c>
      <c r="F51" s="0" t="s">
        <v>41</v>
      </c>
      <c r="G51" s="0" t="s">
        <v>9</v>
      </c>
      <c r="H51" s="0" t="n">
        <v>31.9974</v>
      </c>
      <c r="I51" s="0" t="n">
        <v>-102.0779</v>
      </c>
      <c r="J51" s="0" t="n">
        <v>40.39</v>
      </c>
    </row>
    <row r="55" customFormat="false" ht="15" hidden="false" customHeight="false" outlineLevel="0" collapsed="false">
      <c r="A55" s="0" t="s">
        <v>61</v>
      </c>
    </row>
    <row r="56" customFormat="false" ht="15" hidden="false" customHeight="false" outlineLevel="0" collapsed="false">
      <c r="A56" s="2" t="s">
        <v>62</v>
      </c>
      <c r="B56" s="2" t="s">
        <v>63</v>
      </c>
      <c r="C56" s="2" t="s">
        <v>64</v>
      </c>
      <c r="D56" s="2" t="s">
        <v>65</v>
      </c>
      <c r="E56" s="2" t="s">
        <v>66</v>
      </c>
      <c r="F56" s="2" t="s">
        <v>67</v>
      </c>
      <c r="G56" s="2" t="s">
        <v>68</v>
      </c>
      <c r="H56" s="2" t="s">
        <v>69</v>
      </c>
      <c r="I56" s="2" t="s">
        <v>70</v>
      </c>
      <c r="J56" s="2" t="s">
        <v>71</v>
      </c>
      <c r="K56" s="2" t="s">
        <v>72</v>
      </c>
    </row>
    <row r="57" customFormat="false" ht="15" hidden="false" customHeight="false" outlineLevel="0" collapsed="false">
      <c r="A57" s="3" t="n">
        <v>45713</v>
      </c>
      <c r="B57" s="2" t="n">
        <v>76011</v>
      </c>
      <c r="C57" s="2" t="s">
        <v>60</v>
      </c>
      <c r="D57" s="2" t="s">
        <v>9</v>
      </c>
      <c r="E57" s="2" t="n">
        <v>77550</v>
      </c>
      <c r="F57" s="2" t="s">
        <v>10</v>
      </c>
      <c r="G57" s="2" t="s">
        <v>9</v>
      </c>
      <c r="H57" s="2" t="s">
        <v>73</v>
      </c>
      <c r="I57" s="2" t="n">
        <v>305.39</v>
      </c>
      <c r="J57" s="2" t="n">
        <v>350</v>
      </c>
      <c r="K57" s="2" t="n">
        <v>1.15</v>
      </c>
    </row>
    <row r="58" customFormat="false" ht="15" hidden="false" customHeight="false" outlineLevel="0" collapsed="false">
      <c r="A58" s="3" t="n">
        <v>45789</v>
      </c>
      <c r="B58" s="2" t="n">
        <v>76011</v>
      </c>
      <c r="C58" s="2" t="s">
        <v>60</v>
      </c>
      <c r="D58" s="2" t="s">
        <v>9</v>
      </c>
      <c r="E58" s="2" t="n">
        <v>77550</v>
      </c>
      <c r="F58" s="2" t="s">
        <v>10</v>
      </c>
      <c r="G58" s="2" t="s">
        <v>9</v>
      </c>
      <c r="H58" s="2" t="s">
        <v>74</v>
      </c>
      <c r="I58" s="2" t="n">
        <v>305.39</v>
      </c>
      <c r="J58" s="2" t="n">
        <v>350</v>
      </c>
      <c r="K58" s="2" t="n">
        <v>1.15</v>
      </c>
    </row>
    <row r="59" customFormat="false" ht="15" hidden="false" customHeight="false" outlineLevel="0" collapsed="false">
      <c r="A59" s="3" t="n">
        <v>45800</v>
      </c>
      <c r="B59" s="2" t="n">
        <v>76011</v>
      </c>
      <c r="C59" s="2" t="s">
        <v>60</v>
      </c>
      <c r="D59" s="2" t="s">
        <v>9</v>
      </c>
      <c r="E59" s="2" t="n">
        <v>77550</v>
      </c>
      <c r="F59" s="2" t="s">
        <v>10</v>
      </c>
      <c r="G59" s="2" t="s">
        <v>9</v>
      </c>
      <c r="H59" s="2" t="s">
        <v>75</v>
      </c>
      <c r="I59" s="2" t="n">
        <v>305.39</v>
      </c>
      <c r="J59" s="2" t="n">
        <v>350</v>
      </c>
      <c r="K59" s="2" t="n">
        <v>1.15</v>
      </c>
    </row>
    <row r="60" customFormat="false" ht="15" hidden="false" customHeight="false" outlineLevel="0" collapsed="false">
      <c r="A60" s="3" t="n">
        <v>45807</v>
      </c>
      <c r="B60" s="2" t="n">
        <v>76011</v>
      </c>
      <c r="C60" s="2" t="s">
        <v>60</v>
      </c>
      <c r="D60" s="2" t="s">
        <v>9</v>
      </c>
      <c r="E60" s="2" t="n">
        <v>77550</v>
      </c>
      <c r="F60" s="2" t="s">
        <v>10</v>
      </c>
      <c r="G60" s="2" t="s">
        <v>9</v>
      </c>
      <c r="H60" s="2" t="s">
        <v>73</v>
      </c>
      <c r="I60" s="2" t="n">
        <v>305.39</v>
      </c>
      <c r="J60" s="2" t="n">
        <v>350</v>
      </c>
      <c r="K60" s="2" t="n">
        <v>1.15</v>
      </c>
    </row>
    <row r="61" customFormat="false" ht="15" hidden="false" customHeight="false" outlineLevel="0" collapsed="false">
      <c r="A61" s="3" t="n">
        <v>45818</v>
      </c>
      <c r="B61" s="2" t="n">
        <v>76011</v>
      </c>
      <c r="C61" s="2" t="s">
        <v>60</v>
      </c>
      <c r="D61" s="2" t="s">
        <v>9</v>
      </c>
      <c r="E61" s="2" t="n">
        <v>77550</v>
      </c>
      <c r="F61" s="2" t="s">
        <v>10</v>
      </c>
      <c r="G61" s="2" t="s">
        <v>9</v>
      </c>
      <c r="H61" s="2" t="s">
        <v>73</v>
      </c>
      <c r="I61" s="2" t="n">
        <v>305.39</v>
      </c>
      <c r="J61" s="2" t="n">
        <v>350</v>
      </c>
      <c r="K61" s="2" t="n">
        <v>1.15</v>
      </c>
    </row>
    <row r="62" customFormat="false" ht="15" hidden="false" customHeight="false" outlineLevel="0" collapsed="false">
      <c r="A62" s="3" t="n">
        <v>45819</v>
      </c>
      <c r="B62" s="2" t="n">
        <v>76011</v>
      </c>
      <c r="C62" s="2" t="s">
        <v>60</v>
      </c>
      <c r="D62" s="2" t="s">
        <v>9</v>
      </c>
      <c r="E62" s="2" t="n">
        <v>77550</v>
      </c>
      <c r="F62" s="2" t="s">
        <v>10</v>
      </c>
      <c r="G62" s="2" t="s">
        <v>9</v>
      </c>
      <c r="H62" s="2" t="s">
        <v>74</v>
      </c>
      <c r="I62" s="2" t="n">
        <v>305.39</v>
      </c>
      <c r="J62" s="2" t="n">
        <v>350</v>
      </c>
      <c r="K62" s="2" t="n">
        <v>1.15</v>
      </c>
    </row>
    <row r="63" customFormat="false" ht="15" hidden="false" customHeight="false" outlineLevel="0" collapsed="false">
      <c r="A63" s="3" t="n">
        <v>45826</v>
      </c>
      <c r="B63" s="2" t="n">
        <v>76011</v>
      </c>
      <c r="C63" s="2" t="s">
        <v>60</v>
      </c>
      <c r="D63" s="2" t="s">
        <v>9</v>
      </c>
      <c r="E63" s="2" t="n">
        <v>77550</v>
      </c>
      <c r="F63" s="2" t="s">
        <v>10</v>
      </c>
      <c r="G63" s="2" t="s">
        <v>9</v>
      </c>
      <c r="H63" s="2" t="s">
        <v>74</v>
      </c>
      <c r="I63" s="2" t="n">
        <v>305.39</v>
      </c>
      <c r="J63" s="2" t="n">
        <v>350</v>
      </c>
      <c r="K63" s="2" t="n">
        <v>1.15</v>
      </c>
    </row>
    <row r="64" customFormat="false" ht="15" hidden="false" customHeight="false" outlineLevel="0" collapsed="false">
      <c r="A64" s="3" t="n">
        <v>45475</v>
      </c>
      <c r="B64" s="2" t="n">
        <v>76011</v>
      </c>
      <c r="C64" s="2" t="s">
        <v>60</v>
      </c>
      <c r="D64" s="2" t="s">
        <v>9</v>
      </c>
      <c r="E64" s="2" t="n">
        <v>77013</v>
      </c>
      <c r="F64" s="2" t="s">
        <v>76</v>
      </c>
      <c r="G64" s="2" t="s">
        <v>9</v>
      </c>
      <c r="H64" s="2" t="s">
        <v>73</v>
      </c>
      <c r="I64" s="2" t="n">
        <v>257.68</v>
      </c>
      <c r="J64" s="2" t="n">
        <v>200</v>
      </c>
      <c r="K64" s="2" t="n">
        <v>0.78</v>
      </c>
    </row>
    <row r="65" customFormat="false" ht="15" hidden="false" customHeight="false" outlineLevel="0" collapsed="false">
      <c r="A65" s="3" t="n">
        <v>45405</v>
      </c>
      <c r="B65" s="2" t="n">
        <v>76011</v>
      </c>
      <c r="C65" s="2" t="s">
        <v>60</v>
      </c>
      <c r="D65" s="2" t="s">
        <v>9</v>
      </c>
      <c r="E65" s="2" t="n">
        <v>77013</v>
      </c>
      <c r="F65" s="2" t="s">
        <v>76</v>
      </c>
      <c r="G65" s="2" t="s">
        <v>9</v>
      </c>
      <c r="H65" s="2" t="s">
        <v>73</v>
      </c>
      <c r="I65" s="2" t="n">
        <v>257.68</v>
      </c>
      <c r="J65" s="2" t="n">
        <v>225</v>
      </c>
      <c r="K65" s="2" t="n">
        <v>0.87</v>
      </c>
    </row>
    <row r="66" customFormat="false" ht="15" hidden="false" customHeight="false" outlineLevel="0" collapsed="false">
      <c r="A66" s="3" t="n">
        <v>45442</v>
      </c>
      <c r="B66" s="2" t="n">
        <v>76011</v>
      </c>
      <c r="C66" s="2" t="s">
        <v>60</v>
      </c>
      <c r="D66" s="2" t="s">
        <v>9</v>
      </c>
      <c r="E66" s="2" t="n">
        <v>77013</v>
      </c>
      <c r="F66" s="2" t="s">
        <v>76</v>
      </c>
      <c r="G66" s="2" t="s">
        <v>9</v>
      </c>
      <c r="H66" s="2" t="s">
        <v>73</v>
      </c>
      <c r="I66" s="2" t="n">
        <v>257.68</v>
      </c>
      <c r="J66" s="2" t="n">
        <v>240</v>
      </c>
      <c r="K66" s="2" t="n">
        <v>0.93</v>
      </c>
    </row>
    <row r="67" customFormat="false" ht="15" hidden="false" customHeight="false" outlineLevel="0" collapsed="false">
      <c r="A67" s="3" t="n">
        <v>45338</v>
      </c>
      <c r="B67" s="2" t="n">
        <v>76011</v>
      </c>
      <c r="C67" s="2" t="s">
        <v>60</v>
      </c>
      <c r="D67" s="2" t="s">
        <v>9</v>
      </c>
      <c r="E67" s="2" t="n">
        <v>77013</v>
      </c>
      <c r="F67" s="2" t="s">
        <v>76</v>
      </c>
      <c r="G67" s="2" t="s">
        <v>9</v>
      </c>
      <c r="H67" s="2" t="s">
        <v>73</v>
      </c>
      <c r="I67" s="2" t="n">
        <v>257.68</v>
      </c>
      <c r="J67" s="2" t="n">
        <v>245</v>
      </c>
      <c r="K67" s="2" t="n">
        <v>0.95</v>
      </c>
    </row>
    <row r="68" customFormat="false" ht="15" hidden="false" customHeight="false" outlineLevel="0" collapsed="false">
      <c r="A68" s="3" t="n">
        <v>45275</v>
      </c>
      <c r="B68" s="2" t="n">
        <v>76011</v>
      </c>
      <c r="C68" s="2" t="s">
        <v>60</v>
      </c>
      <c r="D68" s="2" t="s">
        <v>9</v>
      </c>
      <c r="E68" s="2" t="n">
        <v>77013</v>
      </c>
      <c r="F68" s="2" t="s">
        <v>76</v>
      </c>
      <c r="G68" s="2" t="s">
        <v>9</v>
      </c>
      <c r="H68" s="2" t="s">
        <v>73</v>
      </c>
      <c r="I68" s="2" t="n">
        <v>262.7</v>
      </c>
      <c r="J68" s="2" t="n">
        <v>250</v>
      </c>
      <c r="K68" s="2" t="n">
        <v>0.95</v>
      </c>
    </row>
    <row r="69" customFormat="false" ht="15" hidden="false" customHeight="false" outlineLevel="0" collapsed="false">
      <c r="A69" s="3" t="n">
        <v>45593</v>
      </c>
      <c r="B69" s="2" t="n">
        <v>76011</v>
      </c>
      <c r="C69" s="2" t="s">
        <v>60</v>
      </c>
      <c r="D69" s="2" t="s">
        <v>9</v>
      </c>
      <c r="E69" s="2" t="n">
        <v>77044</v>
      </c>
      <c r="F69" s="2" t="s">
        <v>76</v>
      </c>
      <c r="G69" s="2" t="s">
        <v>9</v>
      </c>
      <c r="H69" s="2" t="s">
        <v>74</v>
      </c>
      <c r="I69" s="2" t="n">
        <v>255.77</v>
      </c>
      <c r="J69" s="2" t="n">
        <v>300</v>
      </c>
      <c r="K69" s="2" t="n">
        <v>1.17</v>
      </c>
    </row>
    <row r="70" customFormat="false" ht="15" hidden="false" customHeight="false" outlineLevel="0" collapsed="false">
      <c r="A70" s="3" t="n">
        <v>45330</v>
      </c>
      <c r="B70" s="2" t="n">
        <v>75236</v>
      </c>
      <c r="C70" s="2" t="s">
        <v>77</v>
      </c>
      <c r="D70" s="2" t="s">
        <v>9</v>
      </c>
      <c r="E70" s="2" t="n">
        <v>77013</v>
      </c>
      <c r="F70" s="2" t="s">
        <v>76</v>
      </c>
      <c r="G70" s="2" t="s">
        <v>9</v>
      </c>
      <c r="H70" s="2" t="s">
        <v>73</v>
      </c>
      <c r="I70" s="2" t="n">
        <v>250.4</v>
      </c>
      <c r="J70" s="2" t="n">
        <v>235</v>
      </c>
      <c r="K70" s="2" t="n">
        <v>0.94</v>
      </c>
    </row>
    <row r="71" customFormat="false" ht="15" hidden="false" customHeight="false" outlineLevel="0" collapsed="false">
      <c r="A71" s="3" t="n">
        <v>45478</v>
      </c>
      <c r="B71" s="2" t="n">
        <v>77550</v>
      </c>
      <c r="C71" s="2" t="s">
        <v>10</v>
      </c>
      <c r="D71" s="2" t="s">
        <v>9</v>
      </c>
      <c r="E71" s="2" t="n">
        <v>79424</v>
      </c>
      <c r="F71" s="2" t="s">
        <v>78</v>
      </c>
      <c r="G71" s="2" t="s">
        <v>9</v>
      </c>
      <c r="H71" s="2" t="s">
        <v>74</v>
      </c>
      <c r="I71" s="2" t="n">
        <v>632.93</v>
      </c>
      <c r="J71" s="2" t="n">
        <v>900</v>
      </c>
      <c r="K71" s="2" t="n">
        <v>1.42</v>
      </c>
    </row>
    <row r="72" customFormat="false" ht="15" hidden="false" customHeight="false" outlineLevel="0" collapsed="false">
      <c r="A72" s="3" t="n">
        <v>45623</v>
      </c>
      <c r="B72" s="2" t="n">
        <v>77550</v>
      </c>
      <c r="C72" s="2" t="s">
        <v>10</v>
      </c>
      <c r="D72" s="2" t="s">
        <v>9</v>
      </c>
      <c r="E72" s="2" t="n">
        <v>76901</v>
      </c>
      <c r="F72" s="2" t="s">
        <v>79</v>
      </c>
      <c r="G72" s="2" t="s">
        <v>9</v>
      </c>
      <c r="H72" s="2" t="s">
        <v>75</v>
      </c>
      <c r="I72" s="2" t="n">
        <v>428.83</v>
      </c>
      <c r="J72" s="2" t="n">
        <v>845</v>
      </c>
      <c r="K72" s="2" t="n">
        <v>1.97</v>
      </c>
    </row>
    <row r="73" customFormat="false" ht="15" hidden="false" customHeight="false" outlineLevel="0" collapsed="false">
      <c r="A73" s="3" t="n">
        <v>45679</v>
      </c>
      <c r="B73" s="2" t="n">
        <v>77550</v>
      </c>
      <c r="C73" s="2" t="s">
        <v>10</v>
      </c>
      <c r="D73" s="2" t="s">
        <v>9</v>
      </c>
      <c r="E73" s="2" t="n">
        <v>76905</v>
      </c>
      <c r="F73" s="2" t="s">
        <v>79</v>
      </c>
      <c r="G73" s="2" t="s">
        <v>9</v>
      </c>
      <c r="H73" s="2" t="s">
        <v>80</v>
      </c>
      <c r="I73" s="2" t="n">
        <v>410.87</v>
      </c>
      <c r="J73" s="2" t="n">
        <v>720</v>
      </c>
      <c r="K73" s="2" t="n">
        <v>1.75</v>
      </c>
    </row>
    <row r="76" customFormat="false" ht="15" hidden="false" customHeight="false" outlineLevel="0" collapsed="false">
      <c r="A76" s="0" t="s">
        <v>81</v>
      </c>
    </row>
    <row r="77" customFormat="false" ht="15" hidden="false" customHeight="false" outlineLevel="0" collapsed="false">
      <c r="A77" s="2" t="s">
        <v>82</v>
      </c>
      <c r="B77" s="2" t="s">
        <v>83</v>
      </c>
      <c r="C77" s="2" t="s">
        <v>84</v>
      </c>
      <c r="D77" s="2" t="s">
        <v>85</v>
      </c>
      <c r="E77" s="2" t="s">
        <v>86</v>
      </c>
      <c r="F77" s="2" t="s">
        <v>87</v>
      </c>
      <c r="G77" s="2" t="s">
        <v>88</v>
      </c>
      <c r="H77" s="2" t="s">
        <v>70</v>
      </c>
      <c r="I77" s="2" t="s">
        <v>89</v>
      </c>
      <c r="J77" s="2" t="s">
        <v>90</v>
      </c>
    </row>
    <row r="78" customFormat="false" ht="15" hidden="false" customHeight="false" outlineLevel="0" collapsed="false">
      <c r="A78" s="2" t="s">
        <v>10</v>
      </c>
      <c r="B78" s="2" t="n">
        <v>77550</v>
      </c>
      <c r="C78" s="2" t="s">
        <v>9</v>
      </c>
      <c r="D78" s="2" t="s">
        <v>60</v>
      </c>
      <c r="E78" s="2" t="n">
        <v>76001</v>
      </c>
      <c r="F78" s="2" t="s">
        <v>9</v>
      </c>
      <c r="G78" s="2" t="s">
        <v>91</v>
      </c>
      <c r="H78" s="2" t="n">
        <v>312</v>
      </c>
      <c r="I78" s="2" t="n">
        <v>245</v>
      </c>
      <c r="J78" s="2" t="n">
        <v>0.78525641</v>
      </c>
    </row>
    <row r="79" customFormat="false" ht="15" hidden="false" customHeight="false" outlineLevel="0" collapsed="false">
      <c r="A79" s="2" t="s">
        <v>10</v>
      </c>
      <c r="B79" s="2" t="n">
        <v>77550</v>
      </c>
      <c r="C79" s="2" t="s">
        <v>9</v>
      </c>
      <c r="D79" s="2" t="s">
        <v>60</v>
      </c>
      <c r="E79" s="2" t="n">
        <v>76001</v>
      </c>
      <c r="F79" s="2" t="s">
        <v>9</v>
      </c>
      <c r="G79" s="2" t="s">
        <v>91</v>
      </c>
      <c r="H79" s="2" t="n">
        <v>312</v>
      </c>
      <c r="I79" s="2" t="n">
        <v>319</v>
      </c>
      <c r="J79" s="2" t="n">
        <v>1.022435897</v>
      </c>
    </row>
    <row r="80" customFormat="false" ht="15" hidden="false" customHeight="false" outlineLevel="0" collapsed="false">
      <c r="A80" s="2" t="s">
        <v>10</v>
      </c>
      <c r="B80" s="2" t="n">
        <v>77550</v>
      </c>
      <c r="C80" s="2" t="s">
        <v>9</v>
      </c>
      <c r="D80" s="2" t="s">
        <v>60</v>
      </c>
      <c r="E80" s="2" t="n">
        <v>76001</v>
      </c>
      <c r="F80" s="2" t="s">
        <v>9</v>
      </c>
      <c r="G80" s="2" t="s">
        <v>91</v>
      </c>
      <c r="H80" s="2" t="n">
        <v>312</v>
      </c>
      <c r="I80" s="2" t="n">
        <v>336</v>
      </c>
      <c r="J80" s="2" t="n">
        <v>1.076923077</v>
      </c>
    </row>
    <row r="81" customFormat="false" ht="15" hidden="false" customHeight="false" outlineLevel="0" collapsed="false">
      <c r="A81" s="2" t="s">
        <v>10</v>
      </c>
      <c r="B81" s="2" t="n">
        <v>77550</v>
      </c>
      <c r="C81" s="2" t="s">
        <v>9</v>
      </c>
      <c r="D81" s="2" t="s">
        <v>60</v>
      </c>
      <c r="E81" s="2" t="n">
        <v>76001</v>
      </c>
      <c r="F81" s="2" t="s">
        <v>9</v>
      </c>
      <c r="G81" s="2" t="s">
        <v>91</v>
      </c>
      <c r="H81" s="2" t="n">
        <v>312</v>
      </c>
      <c r="I81" s="2" t="n">
        <v>354</v>
      </c>
      <c r="J81" s="2" t="n">
        <v>1.134615385</v>
      </c>
    </row>
    <row r="82" customFormat="false" ht="15" hidden="false" customHeight="false" outlineLevel="0" collapsed="false">
      <c r="A82" s="2" t="s">
        <v>10</v>
      </c>
      <c r="B82" s="2" t="n">
        <v>77550</v>
      </c>
      <c r="C82" s="2" t="s">
        <v>9</v>
      </c>
      <c r="D82" s="2" t="s">
        <v>92</v>
      </c>
      <c r="E82" s="2" t="n">
        <v>73301</v>
      </c>
      <c r="F82" s="2" t="s">
        <v>9</v>
      </c>
      <c r="G82" s="2" t="s">
        <v>91</v>
      </c>
      <c r="H82" s="2" t="n">
        <v>214</v>
      </c>
      <c r="I82" s="2" t="n">
        <v>189</v>
      </c>
      <c r="J82" s="2" t="n">
        <v>0.88317757</v>
      </c>
    </row>
    <row r="83" customFormat="false" ht="15" hidden="false" customHeight="false" outlineLevel="0" collapsed="false">
      <c r="A83" s="2" t="s">
        <v>10</v>
      </c>
      <c r="B83" s="2" t="n">
        <v>77550</v>
      </c>
      <c r="C83" s="2" t="s">
        <v>9</v>
      </c>
      <c r="D83" s="2" t="s">
        <v>92</v>
      </c>
      <c r="E83" s="2" t="n">
        <v>73301</v>
      </c>
      <c r="F83" s="2" t="s">
        <v>9</v>
      </c>
      <c r="G83" s="2" t="s">
        <v>91</v>
      </c>
      <c r="H83" s="2" t="n">
        <v>214</v>
      </c>
      <c r="I83" s="2" t="n">
        <v>245</v>
      </c>
      <c r="J83" s="2" t="n">
        <v>1.144859813</v>
      </c>
    </row>
    <row r="84" customFormat="false" ht="15" hidden="false" customHeight="false" outlineLevel="0" collapsed="false">
      <c r="A84" s="2" t="s">
        <v>10</v>
      </c>
      <c r="B84" s="2" t="n">
        <v>77550</v>
      </c>
      <c r="C84" s="2" t="s">
        <v>9</v>
      </c>
      <c r="D84" s="2" t="s">
        <v>92</v>
      </c>
      <c r="E84" s="2" t="n">
        <v>73301</v>
      </c>
      <c r="F84" s="2" t="s">
        <v>9</v>
      </c>
      <c r="G84" s="2" t="s">
        <v>91</v>
      </c>
      <c r="H84" s="2" t="n">
        <v>214</v>
      </c>
      <c r="I84" s="2" t="n">
        <v>260</v>
      </c>
      <c r="J84" s="2" t="n">
        <v>1.214953271</v>
      </c>
    </row>
    <row r="85" customFormat="false" ht="15" hidden="false" customHeight="false" outlineLevel="0" collapsed="false">
      <c r="A85" s="2" t="s">
        <v>10</v>
      </c>
      <c r="B85" s="2" t="n">
        <v>77550</v>
      </c>
      <c r="C85" s="2" t="s">
        <v>9</v>
      </c>
      <c r="D85" s="2" t="s">
        <v>92</v>
      </c>
      <c r="E85" s="2" t="n">
        <v>73301</v>
      </c>
      <c r="F85" s="2" t="s">
        <v>9</v>
      </c>
      <c r="G85" s="2" t="s">
        <v>91</v>
      </c>
      <c r="H85" s="2" t="n">
        <v>214</v>
      </c>
      <c r="I85" s="2" t="n">
        <v>300</v>
      </c>
      <c r="J85" s="2" t="n">
        <v>1.401869159</v>
      </c>
    </row>
    <row r="86" customFormat="false" ht="15" hidden="false" customHeight="false" outlineLevel="0" collapsed="false">
      <c r="A86" s="2" t="s">
        <v>10</v>
      </c>
      <c r="B86" s="2" t="n">
        <v>77550</v>
      </c>
      <c r="C86" s="2" t="s">
        <v>9</v>
      </c>
      <c r="D86" s="2" t="s">
        <v>93</v>
      </c>
      <c r="E86" s="2" t="n">
        <v>78401</v>
      </c>
      <c r="F86" s="2" t="s">
        <v>9</v>
      </c>
      <c r="G86" s="2" t="s">
        <v>91</v>
      </c>
      <c r="H86" s="2" t="n">
        <v>264</v>
      </c>
      <c r="I86" s="2" t="n">
        <v>289</v>
      </c>
      <c r="J86" s="2" t="n">
        <v>1.09469697</v>
      </c>
    </row>
    <row r="87" customFormat="false" ht="15" hidden="false" customHeight="false" outlineLevel="0" collapsed="false">
      <c r="A87" s="2" t="s">
        <v>10</v>
      </c>
      <c r="B87" s="2" t="n">
        <v>77550</v>
      </c>
      <c r="C87" s="2" t="s">
        <v>9</v>
      </c>
      <c r="D87" s="2" t="s">
        <v>93</v>
      </c>
      <c r="E87" s="2" t="n">
        <v>78401</v>
      </c>
      <c r="F87" s="2" t="s">
        <v>9</v>
      </c>
      <c r="G87" s="2" t="s">
        <v>91</v>
      </c>
      <c r="H87" s="2" t="n">
        <v>264</v>
      </c>
      <c r="I87" s="2" t="n">
        <v>315</v>
      </c>
      <c r="J87" s="2" t="n">
        <v>1.193181818</v>
      </c>
    </row>
    <row r="88" customFormat="false" ht="15" hidden="false" customHeight="false" outlineLevel="0" collapsed="false">
      <c r="A88" s="2" t="s">
        <v>10</v>
      </c>
      <c r="B88" s="2" t="n">
        <v>77550</v>
      </c>
      <c r="C88" s="2" t="s">
        <v>9</v>
      </c>
      <c r="D88" s="2" t="s">
        <v>93</v>
      </c>
      <c r="E88" s="2" t="n">
        <v>78401</v>
      </c>
      <c r="F88" s="2" t="s">
        <v>9</v>
      </c>
      <c r="G88" s="2" t="s">
        <v>91</v>
      </c>
      <c r="H88" s="2" t="n">
        <v>264</v>
      </c>
      <c r="I88" s="2" t="n">
        <v>345</v>
      </c>
      <c r="J88" s="2" t="n">
        <v>1.306818182</v>
      </c>
    </row>
    <row r="89" customFormat="false" ht="15" hidden="false" customHeight="false" outlineLevel="0" collapsed="false">
      <c r="A89" s="2" t="s">
        <v>10</v>
      </c>
      <c r="B89" s="2" t="n">
        <v>77550</v>
      </c>
      <c r="C89" s="2" t="s">
        <v>9</v>
      </c>
      <c r="D89" s="2" t="s">
        <v>93</v>
      </c>
      <c r="E89" s="2" t="n">
        <v>78401</v>
      </c>
      <c r="F89" s="2" t="s">
        <v>9</v>
      </c>
      <c r="G89" s="2" t="s">
        <v>91</v>
      </c>
      <c r="H89" s="2" t="n">
        <v>264</v>
      </c>
      <c r="I89" s="2" t="n">
        <v>355</v>
      </c>
      <c r="J89" s="2" t="n">
        <v>1.34469697</v>
      </c>
    </row>
    <row r="90" customFormat="false" ht="15" hidden="false" customHeight="false" outlineLevel="0" collapsed="false">
      <c r="A90" s="2" t="s">
        <v>10</v>
      </c>
      <c r="B90" s="2" t="n">
        <v>77550</v>
      </c>
      <c r="C90" s="2" t="s">
        <v>9</v>
      </c>
      <c r="D90" s="2" t="s">
        <v>77</v>
      </c>
      <c r="E90" s="2" t="n">
        <v>75201</v>
      </c>
      <c r="F90" s="2" t="s">
        <v>9</v>
      </c>
      <c r="G90" s="2" t="s">
        <v>91</v>
      </c>
      <c r="H90" s="2" t="n">
        <v>290</v>
      </c>
      <c r="I90" s="2" t="n">
        <v>245</v>
      </c>
      <c r="J90" s="2" t="n">
        <v>0.844827586</v>
      </c>
    </row>
    <row r="91" customFormat="false" ht="15" hidden="false" customHeight="false" outlineLevel="0" collapsed="false">
      <c r="A91" s="2" t="s">
        <v>10</v>
      </c>
      <c r="B91" s="2" t="n">
        <v>77550</v>
      </c>
      <c r="C91" s="2" t="s">
        <v>9</v>
      </c>
      <c r="D91" s="2" t="s">
        <v>77</v>
      </c>
      <c r="E91" s="2" t="n">
        <v>75201</v>
      </c>
      <c r="F91" s="2" t="s">
        <v>9</v>
      </c>
      <c r="G91" s="2" t="s">
        <v>91</v>
      </c>
      <c r="H91" s="2" t="n">
        <v>290</v>
      </c>
      <c r="I91" s="2" t="n">
        <v>309</v>
      </c>
      <c r="J91" s="2" t="n">
        <v>1.065517241</v>
      </c>
    </row>
    <row r="92" customFormat="false" ht="15" hidden="false" customHeight="false" outlineLevel="0" collapsed="false">
      <c r="A92" s="2" t="s">
        <v>10</v>
      </c>
      <c r="B92" s="2" t="n">
        <v>77550</v>
      </c>
      <c r="C92" s="2" t="s">
        <v>9</v>
      </c>
      <c r="D92" s="2" t="s">
        <v>77</v>
      </c>
      <c r="E92" s="2" t="n">
        <v>75201</v>
      </c>
      <c r="F92" s="2" t="s">
        <v>9</v>
      </c>
      <c r="G92" s="2" t="s">
        <v>91</v>
      </c>
      <c r="H92" s="2" t="n">
        <v>290</v>
      </c>
      <c r="I92" s="2" t="n">
        <v>330</v>
      </c>
      <c r="J92" s="4" t="n">
        <v>1.137931034</v>
      </c>
    </row>
    <row r="93" customFormat="false" ht="15" hidden="false" customHeight="false" outlineLevel="0" collapsed="false">
      <c r="A93" s="2" t="s">
        <v>10</v>
      </c>
      <c r="B93" s="2" t="n">
        <v>77550</v>
      </c>
      <c r="C93" s="2" t="s">
        <v>9</v>
      </c>
      <c r="D93" s="2" t="s">
        <v>77</v>
      </c>
      <c r="E93" s="2" t="n">
        <v>75201</v>
      </c>
      <c r="F93" s="2" t="s">
        <v>9</v>
      </c>
      <c r="G93" s="2" t="s">
        <v>91</v>
      </c>
      <c r="H93" s="2" t="n">
        <v>290</v>
      </c>
      <c r="I93" s="2" t="n">
        <v>471</v>
      </c>
      <c r="J93" s="2" t="n">
        <v>1.624137931</v>
      </c>
    </row>
    <row r="94" customFormat="false" ht="15" hidden="false" customHeight="false" outlineLevel="0" collapsed="false">
      <c r="A94" s="2" t="s">
        <v>77</v>
      </c>
      <c r="B94" s="2" t="n">
        <v>75217</v>
      </c>
      <c r="C94" s="2" t="s">
        <v>9</v>
      </c>
      <c r="D94" s="2" t="s">
        <v>76</v>
      </c>
      <c r="E94" s="2" t="n">
        <v>77084</v>
      </c>
      <c r="F94" s="2" t="s">
        <v>9</v>
      </c>
      <c r="G94" s="2" t="s">
        <v>91</v>
      </c>
      <c r="H94" s="2" t="n">
        <v>241</v>
      </c>
      <c r="I94" s="2" t="n">
        <v>210</v>
      </c>
      <c r="J94" s="2" t="n">
        <v>0.87137</v>
      </c>
    </row>
    <row r="95" customFormat="false" ht="15" hidden="false" customHeight="false" outlineLevel="0" collapsed="false">
      <c r="A95" s="2" t="s">
        <v>77</v>
      </c>
      <c r="B95" s="2" t="n">
        <v>75217</v>
      </c>
      <c r="C95" s="2" t="s">
        <v>9</v>
      </c>
      <c r="D95" s="2" t="s">
        <v>10</v>
      </c>
      <c r="E95" s="2" t="n">
        <v>77550</v>
      </c>
      <c r="F95" s="2" t="s">
        <v>9</v>
      </c>
      <c r="G95" s="2" t="s">
        <v>91</v>
      </c>
      <c r="H95" s="2" t="n">
        <v>285</v>
      </c>
      <c r="I95" s="2" t="n">
        <v>389</v>
      </c>
      <c r="J95" s="2" t="n">
        <v>1.3649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2025-09-24T13:05:30Z</dcterms:created>
  <dc:creator>Aldo Flores</dc:creator>
  <dc:description/>
  <dc:language>en-US</dc:language>
  <cp:lastModifiedBy/>
  <dcterms:modified xsi:type="dcterms:W3CDTF">2025-10-04T14:58:50Z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