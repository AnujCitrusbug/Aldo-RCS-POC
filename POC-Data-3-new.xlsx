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<sst xmlns="http://schemas.openxmlformats.org/spreadsheetml/2006/main" count="859" uniqueCount="158">
  <si>
    <t xml:space="preserve">SAMPLE ROUTES</t>
  </si>
  <si>
    <t xml:space="preserve">ORIGIN CITY</t>
  </si>
  <si>
    <t xml:space="preserve">ORIGIN STATE</t>
  </si>
  <si>
    <t xml:space="preserve">ORIGIN ZIPCODE</t>
  </si>
  <si>
    <t xml:space="preserve">DEST CITY</t>
  </si>
  <si>
    <t xml:space="preserve">DEST STATE</t>
  </si>
  <si>
    <t xml:space="preserve">DEST ZIPCODE</t>
  </si>
  <si>
    <t xml:space="preserve">DISTANCE</t>
  </si>
  <si>
    <t xml:space="preserve">Addison</t>
  </si>
  <si>
    <t xml:space="preserve">TX</t>
  </si>
  <si>
    <t xml:space="preserve">Galveston</t>
  </si>
  <si>
    <t xml:space="preserve">Denton</t>
  </si>
  <si>
    <t xml:space="preserve">Baytown</t>
  </si>
  <si>
    <t xml:space="preserve">Big Spring</t>
  </si>
  <si>
    <t xml:space="preserve">Long Beach</t>
  </si>
  <si>
    <t xml:space="preserve">CA</t>
  </si>
  <si>
    <t xml:space="preserve">Tucson</t>
  </si>
  <si>
    <t xml:space="preserve">AZ</t>
  </si>
  <si>
    <t xml:space="preserve">Arlington</t>
  </si>
  <si>
    <t xml:space="preserve">Paramount</t>
  </si>
  <si>
    <t xml:space="preserve">METRO DEFINITIONS</t>
  </si>
  <si>
    <t xml:space="preserve">State</t>
  </si>
  <si>
    <t xml:space="preserve">Metro_Area</t>
  </si>
  <si>
    <t xml:space="preserve">Population</t>
  </si>
  <si>
    <t xml:space="preserve">Latitude</t>
  </si>
  <si>
    <t xml:space="preserve">Longitude</t>
  </si>
  <si>
    <t xml:space="preserve">radius_miles</t>
  </si>
  <si>
    <t xml:space="preserve">is_port</t>
  </si>
  <si>
    <t xml:space="preserve">Abilene, TX</t>
  </si>
  <si>
    <t xml:space="preserve">Amarillo, TX</t>
  </si>
  <si>
    <t xml:space="preserve">Arlington, TX</t>
  </si>
  <si>
    <t xml:space="preserve">Austin, TX</t>
  </si>
  <si>
    <t xml:space="preserve">Beaumont, TX</t>
  </si>
  <si>
    <t xml:space="preserve">Brownsville, TX</t>
  </si>
  <si>
    <t xml:space="preserve">College Station, TX</t>
  </si>
  <si>
    <t xml:space="preserve">Corpus Christi, TX</t>
  </si>
  <si>
    <t xml:space="preserve">Dallas, TX</t>
  </si>
  <si>
    <t xml:space="preserve">El Paso, TX</t>
  </si>
  <si>
    <t xml:space="preserve">Fort Worth, TX</t>
  </si>
  <si>
    <t xml:space="preserve">Galveston, TX</t>
  </si>
  <si>
    <t xml:space="preserve">Georgetown, TX</t>
  </si>
  <si>
    <t xml:space="preserve">Houston, TX</t>
  </si>
  <si>
    <t xml:space="preserve">Killeen, TX</t>
  </si>
  <si>
    <t xml:space="preserve">Laredo, TX</t>
  </si>
  <si>
    <t xml:space="preserve">Longview, TX</t>
  </si>
  <si>
    <t xml:space="preserve">Lubbock, TX</t>
  </si>
  <si>
    <t xml:space="preserve">McAllen, TX</t>
  </si>
  <si>
    <t xml:space="preserve">Midland, TX</t>
  </si>
  <si>
    <t xml:space="preserve">Odessa, TX</t>
  </si>
  <si>
    <t xml:space="preserve">San Angelo, TX</t>
  </si>
  <si>
    <t xml:space="preserve">San Antonio, TX</t>
  </si>
  <si>
    <t xml:space="preserve">Sugar Land, TX</t>
  </si>
  <si>
    <t xml:space="preserve">Temple, TX</t>
  </si>
  <si>
    <t xml:space="preserve">Texarkana, TX</t>
  </si>
  <si>
    <t xml:space="preserve">The Woodlands, TX</t>
  </si>
  <si>
    <t xml:space="preserve">Tyler, TX</t>
  </si>
  <si>
    <t xml:space="preserve">Waco, TX</t>
  </si>
  <si>
    <t xml:space="preserve">Wichita Falls, TX</t>
  </si>
  <si>
    <t xml:space="preserve">Los Angeles, CA</t>
  </si>
  <si>
    <t xml:space="preserve">San Francisco, CA</t>
  </si>
  <si>
    <t xml:space="preserve">Riverside , CA</t>
  </si>
  <si>
    <t xml:space="preserve">San Diego, CA</t>
  </si>
  <si>
    <t xml:space="preserve">Sacramento, CA</t>
  </si>
  <si>
    <t xml:space="preserve">San Jose, CA</t>
  </si>
  <si>
    <t xml:space="preserve">Fresno, CA</t>
  </si>
  <si>
    <t xml:space="preserve">Bakersfield, CA</t>
  </si>
  <si>
    <t xml:space="preserve">Stockton, CA</t>
  </si>
  <si>
    <t xml:space="preserve">Oxnard-Thousand Oaks-Ventura, CA</t>
  </si>
  <si>
    <t xml:space="preserve">Modesto, CA</t>
  </si>
  <si>
    <t xml:space="preserve">Santa Rosa-Petaluma, CA</t>
  </si>
  <si>
    <t xml:space="preserve">Vallejo, CA</t>
  </si>
  <si>
    <t xml:space="preserve">Santa Barbara-Santa Maria-Goleta, CA</t>
  </si>
  <si>
    <t xml:space="preserve">Salinas, CA</t>
  </si>
  <si>
    <t xml:space="preserve">Visalia, CA</t>
  </si>
  <si>
    <t xml:space="preserve">Santa Cruz-Watsonville, CA</t>
  </si>
  <si>
    <t xml:space="preserve">Merced, CA</t>
  </si>
  <si>
    <t xml:space="preserve">San Luis Obispo-Paso Robles, CA</t>
  </si>
  <si>
    <t xml:space="preserve">Chico, CA</t>
  </si>
  <si>
    <t xml:space="preserve">Yuba City, CA</t>
  </si>
  <si>
    <t xml:space="preserve">Redding, CA</t>
  </si>
  <si>
    <t xml:space="preserve">Napa, CA</t>
  </si>
  <si>
    <t xml:space="preserve">Hanford, CA</t>
  </si>
  <si>
    <t xml:space="preserve">Madera, CA</t>
  </si>
  <si>
    <t xml:space="preserve">Phoenix, AZ</t>
  </si>
  <si>
    <t xml:space="preserve">Tucson, AZ</t>
  </si>
  <si>
    <t xml:space="preserve">Flagstaff, AZ</t>
  </si>
  <si>
    <t xml:space="preserve">Lake Havasu City, AZ</t>
  </si>
  <si>
    <t xml:space="preserve">Prescott Valley, AZ</t>
  </si>
  <si>
    <t xml:space="preserve">Sierra Vista, AZ</t>
  </si>
  <si>
    <t xml:space="preserve">Yuma, AZ</t>
  </si>
  <si>
    <t xml:space="preserve">ZIPCODE TO METRO ASSIGNMENT</t>
  </si>
  <si>
    <t xml:space="preserve">Zip_Code</t>
  </si>
  <si>
    <t xml:space="preserve">City</t>
  </si>
  <si>
    <t xml:space="preserve">Nearest_Metro_City</t>
  </si>
  <si>
    <t xml:space="preserve">Nearest_Metro_State</t>
  </si>
  <si>
    <t xml:space="preserve">Latitude.1</t>
  </si>
  <si>
    <t xml:space="preserve">Longitude.1</t>
  </si>
  <si>
    <t xml:space="preserve">Driving_Distance_Miles</t>
  </si>
  <si>
    <t xml:space="preserve">TRANSCAR HISTORICAL DATA:</t>
  </si>
  <si>
    <t xml:space="preserve">Date</t>
  </si>
  <si>
    <t xml:space="preserve">Pickup ZIP</t>
  </si>
  <si>
    <t xml:space="preserve">Pickup City</t>
  </si>
  <si>
    <t xml:space="preserve">Pickup State</t>
  </si>
  <si>
    <t xml:space="preserve">Delivery ZIP</t>
  </si>
  <si>
    <t xml:space="preserve">Delivery City</t>
  </si>
  <si>
    <t xml:space="preserve">Delivery State</t>
  </si>
  <si>
    <t xml:space="preserve">Vehicle Type</t>
  </si>
  <si>
    <t xml:space="preserve">Distance</t>
  </si>
  <si>
    <t xml:space="preserve">Total Carrier Price</t>
  </si>
  <si>
    <t xml:space="preserve">Total Price per Mile</t>
  </si>
  <si>
    <t xml:space="preserve">Car - Sedan</t>
  </si>
  <si>
    <t xml:space="preserve">SUV - Medium</t>
  </si>
  <si>
    <t xml:space="preserve">Truck - Large</t>
  </si>
  <si>
    <t xml:space="preserve">Houston</t>
  </si>
  <si>
    <t xml:space="preserve">Dallas</t>
  </si>
  <si>
    <t xml:space="preserve">Lubbock</t>
  </si>
  <si>
    <t xml:space="preserve">San Angelo</t>
  </si>
  <si>
    <t xml:space="preserve">Car - Small</t>
  </si>
  <si>
    <t xml:space="preserve">El Cajon</t>
  </si>
  <si>
    <t xml:space="preserve">Fort Huachuca</t>
  </si>
  <si>
    <t xml:space="preserve">Gilbert</t>
  </si>
  <si>
    <t xml:space="preserve">Litchfield Park</t>
  </si>
  <si>
    <t xml:space="preserve">Sierra Vista</t>
  </si>
  <si>
    <t xml:space="preserve">Buckeye</t>
  </si>
  <si>
    <t xml:space="preserve">Casa Grande</t>
  </si>
  <si>
    <t xml:space="preserve">SUV - Large</t>
  </si>
  <si>
    <t xml:space="preserve">Eloy</t>
  </si>
  <si>
    <t xml:space="preserve">Goodyear</t>
  </si>
  <si>
    <t xml:space="preserve">Laveen</t>
  </si>
  <si>
    <t xml:space="preserve">Mesa</t>
  </si>
  <si>
    <t xml:space="preserve">Payson</t>
  </si>
  <si>
    <t xml:space="preserve">Peoria</t>
  </si>
  <si>
    <t xml:space="preserve">Phoenix</t>
  </si>
  <si>
    <t xml:space="preserve">Prescott Valley</t>
  </si>
  <si>
    <t xml:space="preserve">Queen Creek</t>
  </si>
  <si>
    <t xml:space="preserve">Scottsdale</t>
  </si>
  <si>
    <t xml:space="preserve">Surprise</t>
  </si>
  <si>
    <t xml:space="preserve">long beach</t>
  </si>
  <si>
    <t xml:space="preserve">Tempe</t>
  </si>
  <si>
    <t xml:space="preserve">Yuma</t>
  </si>
  <si>
    <t xml:space="preserve">National City</t>
  </si>
  <si>
    <t xml:space="preserve">Port Hueneme</t>
  </si>
  <si>
    <t xml:space="preserve">Wilmington</t>
  </si>
  <si>
    <t xml:space="preserve">COMPETITOR DATA</t>
  </si>
  <si>
    <t xml:space="preserve">Origin City</t>
  </si>
  <si>
    <t xml:space="preserve">Origin Zipcode</t>
  </si>
  <si>
    <t xml:space="preserve">Origin State</t>
  </si>
  <si>
    <t xml:space="preserve">Destination City</t>
  </si>
  <si>
    <t xml:space="preserve">Dest Zipcode</t>
  </si>
  <si>
    <t xml:space="preserve">Dest State</t>
  </si>
  <si>
    <t xml:space="preserve">vehicle_type</t>
  </si>
  <si>
    <t xml:space="preserve">competitor price minus profit</t>
  </si>
  <si>
    <t xml:space="preserve">competitor price per Mile</t>
  </si>
  <si>
    <t xml:space="preserve">sedan</t>
  </si>
  <si>
    <t xml:space="preserve">Austin</t>
  </si>
  <si>
    <t xml:space="preserve">Corpus Christi</t>
  </si>
  <si>
    <t xml:space="preserve">Flagstaff</t>
  </si>
  <si>
    <t xml:space="preserve">Oakland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</si>
</sst>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m/d/yyyy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221"/>
  <sheetViews>
    <sheetView showFormulas="false" showGridLines="true" showRowColHeaders="true" showZeros="true" rightToLeft="false" tabSelected="true" showOutlineSymbols="true" defaultGridColor="true" view="normal" topLeftCell="A25" colorId="64" zoomScale="100" zoomScaleNormal="100" zoomScalePageLayoutView="100" workbookViewId="0">
      <selection pane="topLeft" activeCell="F11" activeCellId="0" sqref="F1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5.15"/>
    <col collapsed="false" customWidth="true" hidden="false" outlineLevel="0" max="2" min="2" style="1" width="33.62"/>
    <col collapsed="false" customWidth="true" hidden="false" outlineLevel="0" max="3" min="3" style="1" width="11.15"/>
    <col collapsed="false" customWidth="true" hidden="false" outlineLevel="0" max="4" min="4" style="1" width="13.86"/>
    <col collapsed="false" customWidth="true" hidden="false" outlineLevel="0" max="5" min="5" style="1" width="12.41"/>
    <col collapsed="false" customWidth="true" hidden="false" outlineLevel="0" max="6" min="6" style="1" width="17.93"/>
    <col collapsed="false" customWidth="true" hidden="false" outlineLevel="0" max="7" min="7" style="1" width="10.16"/>
  </cols>
  <sheetData>
    <row r="2" customFormat="false" ht="15" hidden="false" customHeight="false" outlineLevel="0" collapsed="false">
      <c r="A2" s="1" t="s">
        <v>0</v>
      </c>
    </row>
    <row r="3" customFormat="false" ht="15" hidden="false" customHeight="false" outlineLevel="0" collapsed="false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customFormat="false" ht="15" hidden="false" customHeight="false" outlineLevel="0" collapsed="false">
      <c r="A4" s="1" t="s">
        <v>8</v>
      </c>
      <c r="B4" s="1" t="s">
        <v>9</v>
      </c>
      <c r="C4" s="1" t="n">
        <v>75001</v>
      </c>
      <c r="D4" s="1" t="s">
        <v>10</v>
      </c>
      <c r="E4" s="1" t="s">
        <v>9</v>
      </c>
      <c r="F4" s="1" t="n">
        <v>77550</v>
      </c>
      <c r="G4" s="1" t="n">
        <v>305</v>
      </c>
    </row>
    <row r="5" customFormat="false" ht="15" hidden="false" customHeight="false" outlineLevel="0" collapsed="false">
      <c r="A5" s="1" t="s">
        <v>11</v>
      </c>
      <c r="B5" s="1" t="s">
        <v>9</v>
      </c>
      <c r="C5" s="1" t="n">
        <v>76201</v>
      </c>
      <c r="D5" s="1" t="s">
        <v>12</v>
      </c>
      <c r="E5" s="1" t="s">
        <v>9</v>
      </c>
      <c r="F5" s="1" t="n">
        <v>77523</v>
      </c>
      <c r="G5" s="1" t="n">
        <v>302</v>
      </c>
    </row>
    <row r="6" customFormat="false" ht="15" hidden="false" customHeight="false" outlineLevel="0" collapsed="false">
      <c r="A6" s="1" t="s">
        <v>10</v>
      </c>
      <c r="B6" s="1" t="s">
        <v>9</v>
      </c>
      <c r="C6" s="1" t="n">
        <v>77550</v>
      </c>
      <c r="D6" s="1" t="s">
        <v>13</v>
      </c>
      <c r="E6" s="1" t="s">
        <v>9</v>
      </c>
      <c r="F6" s="1" t="n">
        <v>79720</v>
      </c>
      <c r="G6" s="1" t="n">
        <v>511</v>
      </c>
    </row>
    <row r="7" customFormat="false" ht="15" hidden="false" customHeight="false" outlineLevel="0" collapsed="false">
      <c r="A7" s="1" t="s">
        <v>14</v>
      </c>
      <c r="B7" s="1" t="s">
        <v>15</v>
      </c>
      <c r="C7" s="2" t="n">
        <v>90802</v>
      </c>
      <c r="D7" s="1" t="s">
        <v>16</v>
      </c>
      <c r="E7" s="2" t="s">
        <v>17</v>
      </c>
      <c r="F7" s="2" t="n">
        <v>85749</v>
      </c>
      <c r="G7" s="1" t="n">
        <v>491</v>
      </c>
    </row>
    <row r="8" customFormat="false" ht="15" hidden="false" customHeight="false" outlineLevel="0" collapsed="false">
      <c r="A8" s="1" t="s">
        <v>18</v>
      </c>
      <c r="B8" s="1" t="s">
        <v>9</v>
      </c>
      <c r="C8" s="3" t="n">
        <v>76011</v>
      </c>
      <c r="D8" s="1" t="s">
        <v>10</v>
      </c>
      <c r="E8" s="2" t="s">
        <v>9</v>
      </c>
      <c r="F8" s="4" t="n">
        <v>77550</v>
      </c>
      <c r="G8" s="1" t="n">
        <v>309</v>
      </c>
    </row>
    <row r="9" customFormat="false" ht="15" hidden="false" customHeight="false" outlineLevel="0" collapsed="false">
      <c r="A9" s="1" t="s">
        <v>19</v>
      </c>
      <c r="B9" s="1" t="s">
        <v>15</v>
      </c>
      <c r="C9" s="1" t="n">
        <v>90747</v>
      </c>
      <c r="D9" s="2" t="s">
        <v>16</v>
      </c>
      <c r="E9" s="2" t="s">
        <v>17</v>
      </c>
      <c r="F9" s="2" t="n">
        <v>85749</v>
      </c>
      <c r="G9" s="1" t="n">
        <v>484</v>
      </c>
    </row>
    <row r="12" customFormat="false" ht="15" hidden="false" customHeight="false" outlineLevel="0" collapsed="false">
      <c r="A12" s="1" t="s">
        <v>20</v>
      </c>
    </row>
    <row r="13" customFormat="false" ht="15" hidden="false" customHeight="false" outlineLevel="0" collapsed="false">
      <c r="A13" s="1" t="s">
        <v>21</v>
      </c>
      <c r="B13" s="1" t="s">
        <v>22</v>
      </c>
      <c r="C13" s="1" t="s">
        <v>23</v>
      </c>
      <c r="D13" s="1" t="s">
        <v>24</v>
      </c>
      <c r="E13" s="1" t="s">
        <v>25</v>
      </c>
      <c r="F13" s="1" t="s">
        <v>26</v>
      </c>
      <c r="G13" s="1" t="s">
        <v>27</v>
      </c>
    </row>
    <row r="14" customFormat="false" ht="15" hidden="false" customHeight="false" outlineLevel="0" collapsed="false">
      <c r="A14" s="1" t="s">
        <v>9</v>
      </c>
      <c r="B14" s="1" t="s">
        <v>28</v>
      </c>
      <c r="C14" s="1" t="n">
        <v>171451</v>
      </c>
      <c r="D14" s="1" t="n">
        <v>32.4487</v>
      </c>
      <c r="E14" s="1" t="n">
        <v>-99.7331</v>
      </c>
      <c r="F14" s="1" t="n">
        <v>15</v>
      </c>
      <c r="G14" s="5" t="b">
        <f aca="false">FALSE()</f>
        <v>0</v>
      </c>
    </row>
    <row r="15" customFormat="false" ht="15" hidden="false" customHeight="false" outlineLevel="0" collapsed="false">
      <c r="A15" s="1" t="s">
        <v>9</v>
      </c>
      <c r="B15" s="1" t="s">
        <v>29</v>
      </c>
      <c r="C15" s="1" t="n">
        <v>264345</v>
      </c>
      <c r="D15" s="1" t="n">
        <v>35.222</v>
      </c>
      <c r="E15" s="1" t="n">
        <v>-101.8313</v>
      </c>
      <c r="F15" s="1" t="n">
        <v>20</v>
      </c>
      <c r="G15" s="5" t="b">
        <f aca="false">FALSE()</f>
        <v>0</v>
      </c>
    </row>
    <row r="16" customFormat="false" ht="15" hidden="false" customHeight="false" outlineLevel="0" collapsed="false">
      <c r="A16" s="1" t="s">
        <v>9</v>
      </c>
      <c r="B16" s="1" t="s">
        <v>30</v>
      </c>
      <c r="C16" s="1" t="n">
        <v>200000</v>
      </c>
      <c r="D16" s="1" t="n">
        <v>32.7357</v>
      </c>
      <c r="E16" s="1" t="n">
        <v>-97.1081</v>
      </c>
      <c r="F16" s="1" t="n">
        <v>15</v>
      </c>
      <c r="G16" s="5" t="b">
        <f aca="false">FALSE()</f>
        <v>0</v>
      </c>
    </row>
    <row r="17" customFormat="false" ht="15" hidden="false" customHeight="false" outlineLevel="0" collapsed="false">
      <c r="A17" s="1" t="s">
        <v>9</v>
      </c>
      <c r="B17" s="1" t="s">
        <v>31</v>
      </c>
      <c r="C17" s="1" t="n">
        <v>2352426</v>
      </c>
      <c r="D17" s="1" t="n">
        <v>30.2672</v>
      </c>
      <c r="E17" s="1" t="n">
        <v>-97.7431</v>
      </c>
      <c r="F17" s="1" t="n">
        <v>25</v>
      </c>
      <c r="G17" s="5" t="b">
        <f aca="false">FALSE()</f>
        <v>0</v>
      </c>
    </row>
    <row r="18" customFormat="false" ht="15" hidden="false" customHeight="false" outlineLevel="0" collapsed="false">
      <c r="A18" s="1" t="s">
        <v>9</v>
      </c>
      <c r="B18" s="1" t="s">
        <v>32</v>
      </c>
      <c r="C18" s="1" t="n">
        <v>391805</v>
      </c>
      <c r="D18" s="1" t="n">
        <v>30.0802</v>
      </c>
      <c r="E18" s="1" t="n">
        <v>-94.1266</v>
      </c>
      <c r="F18" s="1" t="n">
        <v>20</v>
      </c>
      <c r="G18" s="5" t="b">
        <f aca="false">FALSE()</f>
        <v>0</v>
      </c>
    </row>
    <row r="19" customFormat="false" ht="15" hidden="false" customHeight="false" outlineLevel="0" collapsed="false">
      <c r="A19" s="1" t="s">
        <v>9</v>
      </c>
      <c r="B19" s="1" t="s">
        <v>33</v>
      </c>
      <c r="C19" s="1" t="n">
        <v>423725</v>
      </c>
      <c r="D19" s="1" t="n">
        <v>25.9017</v>
      </c>
      <c r="E19" s="1" t="n">
        <v>-97.4975</v>
      </c>
      <c r="F19" s="1" t="n">
        <v>20</v>
      </c>
      <c r="G19" s="5" t="b">
        <f aca="false">FALSE()</f>
        <v>0</v>
      </c>
    </row>
    <row r="20" customFormat="false" ht="15" hidden="false" customHeight="false" outlineLevel="0" collapsed="false">
      <c r="A20" s="1" t="s">
        <v>9</v>
      </c>
      <c r="B20" s="1" t="s">
        <v>34</v>
      </c>
      <c r="C20" s="1" t="n">
        <v>273101</v>
      </c>
      <c r="D20" s="1" t="n">
        <v>30.628</v>
      </c>
      <c r="E20" s="1" t="n">
        <v>-96.3344</v>
      </c>
      <c r="F20" s="1" t="n">
        <v>20</v>
      </c>
      <c r="G20" s="5" t="b">
        <f aca="false">FALSE()</f>
        <v>0</v>
      </c>
    </row>
    <row r="21" customFormat="false" ht="15" hidden="false" customHeight="false" outlineLevel="0" collapsed="false">
      <c r="A21" s="1" t="s">
        <v>9</v>
      </c>
      <c r="B21" s="1" t="s">
        <v>35</v>
      </c>
      <c r="C21" s="1" t="n">
        <v>429024</v>
      </c>
      <c r="D21" s="1" t="n">
        <v>27.8006</v>
      </c>
      <c r="E21" s="1" t="n">
        <v>-97.3964</v>
      </c>
      <c r="F21" s="1" t="n">
        <v>20</v>
      </c>
      <c r="G21" s="5" t="b">
        <f aca="false">FALSE()</f>
        <v>0</v>
      </c>
    </row>
    <row r="22" customFormat="false" ht="15" hidden="false" customHeight="false" outlineLevel="0" collapsed="false">
      <c r="A22" s="1" t="s">
        <v>9</v>
      </c>
      <c r="B22" s="1" t="s">
        <v>36</v>
      </c>
      <c r="C22" s="1" t="n">
        <v>7637387</v>
      </c>
      <c r="D22" s="1" t="n">
        <v>32.7767</v>
      </c>
      <c r="E22" s="1" t="n">
        <v>-96.797</v>
      </c>
      <c r="F22" s="1" t="n">
        <v>25</v>
      </c>
      <c r="G22" s="5" t="b">
        <f aca="false">FALSE()</f>
        <v>0</v>
      </c>
    </row>
    <row r="23" customFormat="false" ht="15" hidden="false" customHeight="false" outlineLevel="0" collapsed="false">
      <c r="A23" s="1" t="s">
        <v>9</v>
      </c>
      <c r="B23" s="1" t="s">
        <v>37</v>
      </c>
      <c r="C23" s="1" t="n">
        <v>868859</v>
      </c>
      <c r="D23" s="1" t="n">
        <v>31.7619</v>
      </c>
      <c r="E23" s="1" t="n">
        <v>-106.485</v>
      </c>
      <c r="F23" s="1" t="n">
        <v>25</v>
      </c>
      <c r="G23" s="5" t="b">
        <f aca="false">FALSE()</f>
        <v>0</v>
      </c>
    </row>
    <row r="24" customFormat="false" ht="15" hidden="false" customHeight="false" outlineLevel="0" collapsed="false">
      <c r="A24" s="1" t="s">
        <v>9</v>
      </c>
      <c r="B24" s="1" t="s">
        <v>38</v>
      </c>
      <c r="C24" s="1" t="n">
        <v>2500000</v>
      </c>
      <c r="D24" s="1" t="n">
        <v>32.7555</v>
      </c>
      <c r="E24" s="1" t="n">
        <v>-97.3308</v>
      </c>
      <c r="F24" s="1" t="n">
        <v>25</v>
      </c>
      <c r="G24" s="5" t="b">
        <f aca="false">FALSE()</f>
        <v>0</v>
      </c>
    </row>
    <row r="25" customFormat="false" ht="15" hidden="false" customHeight="false" outlineLevel="0" collapsed="false">
      <c r="A25" s="1" t="s">
        <v>9</v>
      </c>
      <c r="B25" s="1" t="s">
        <v>39</v>
      </c>
      <c r="C25" s="1" t="n">
        <v>100000</v>
      </c>
      <c r="D25" s="1" t="n">
        <v>29.3013</v>
      </c>
      <c r="E25" s="1" t="n">
        <v>-94.7977</v>
      </c>
      <c r="F25" s="1" t="n">
        <v>15</v>
      </c>
      <c r="G25" s="5" t="b">
        <f aca="false">TRUE()</f>
        <v>1</v>
      </c>
    </row>
    <row r="26" customFormat="false" ht="15" hidden="false" customHeight="false" outlineLevel="0" collapsed="false">
      <c r="A26" s="1" t="s">
        <v>9</v>
      </c>
      <c r="B26" s="1" t="s">
        <v>40</v>
      </c>
      <c r="C26" s="1" t="n">
        <v>200000</v>
      </c>
      <c r="D26" s="1" t="n">
        <v>30.6333</v>
      </c>
      <c r="E26" s="1" t="n">
        <v>-97.678</v>
      </c>
      <c r="F26" s="1" t="n">
        <v>15</v>
      </c>
      <c r="G26" s="5" t="b">
        <f aca="false">FALSE()</f>
        <v>0</v>
      </c>
    </row>
    <row r="27" customFormat="false" ht="15" hidden="false" customHeight="false" outlineLevel="0" collapsed="false">
      <c r="A27" s="1" t="s">
        <v>9</v>
      </c>
      <c r="B27" s="1" t="s">
        <v>41</v>
      </c>
      <c r="C27" s="1" t="n">
        <v>7122240</v>
      </c>
      <c r="D27" s="1" t="n">
        <v>29.7604</v>
      </c>
      <c r="E27" s="1" t="n">
        <v>-95.3698</v>
      </c>
      <c r="F27" s="1" t="n">
        <v>25</v>
      </c>
      <c r="G27" s="5" t="b">
        <f aca="false">FALSE()</f>
        <v>0</v>
      </c>
    </row>
    <row r="28" customFormat="false" ht="15" hidden="false" customHeight="false" outlineLevel="0" collapsed="false">
      <c r="A28" s="1" t="s">
        <v>9</v>
      </c>
      <c r="B28" s="1" t="s">
        <v>42</v>
      </c>
      <c r="C28" s="1" t="n">
        <v>200000</v>
      </c>
      <c r="D28" s="1" t="n">
        <v>31.1171</v>
      </c>
      <c r="E28" s="1" t="n">
        <v>-97.7278</v>
      </c>
      <c r="F28" s="1" t="n">
        <v>15</v>
      </c>
      <c r="G28" s="5" t="b">
        <f aca="false">FALSE()</f>
        <v>0</v>
      </c>
    </row>
    <row r="29" customFormat="false" ht="15" hidden="false" customHeight="false" outlineLevel="0" collapsed="false">
      <c r="A29" s="1" t="s">
        <v>9</v>
      </c>
      <c r="B29" s="1" t="s">
        <v>43</v>
      </c>
      <c r="C29" s="1" t="n">
        <v>267114</v>
      </c>
      <c r="D29" s="1" t="n">
        <v>27.5036</v>
      </c>
      <c r="E29" s="1" t="n">
        <v>-99.5075</v>
      </c>
      <c r="F29" s="1" t="n">
        <v>20</v>
      </c>
      <c r="G29" s="5" t="b">
        <f aca="false">FALSE()</f>
        <v>0</v>
      </c>
    </row>
    <row r="30" customFormat="false" ht="15" hidden="false" customHeight="false" outlineLevel="0" collapsed="false">
      <c r="A30" s="1" t="s">
        <v>9</v>
      </c>
      <c r="B30" s="1" t="s">
        <v>44</v>
      </c>
      <c r="C30" s="1" t="n">
        <v>286657</v>
      </c>
      <c r="D30" s="1" t="n">
        <v>32.5007</v>
      </c>
      <c r="E30" s="1" t="n">
        <v>-94.7405</v>
      </c>
      <c r="F30" s="1" t="n">
        <v>20</v>
      </c>
      <c r="G30" s="5" t="b">
        <f aca="false">FALSE()</f>
        <v>0</v>
      </c>
    </row>
    <row r="31" customFormat="false" ht="15" hidden="false" customHeight="false" outlineLevel="0" collapsed="false">
      <c r="A31" s="1" t="s">
        <v>9</v>
      </c>
      <c r="B31" s="1" t="s">
        <v>45</v>
      </c>
      <c r="C31" s="1" t="n">
        <v>327424</v>
      </c>
      <c r="D31" s="1" t="n">
        <v>33.5779</v>
      </c>
      <c r="E31" s="1" t="n">
        <v>-101.8552</v>
      </c>
      <c r="F31" s="1" t="n">
        <v>20</v>
      </c>
      <c r="G31" s="5" t="b">
        <f aca="false">FALSE()</f>
        <v>0</v>
      </c>
    </row>
    <row r="32" customFormat="false" ht="15" hidden="false" customHeight="false" outlineLevel="0" collapsed="false">
      <c r="A32" s="1" t="s">
        <v>9</v>
      </c>
      <c r="B32" s="1" t="s">
        <v>46</v>
      </c>
      <c r="C32" s="1" t="n">
        <v>868707</v>
      </c>
      <c r="D32" s="1" t="n">
        <v>26.2034</v>
      </c>
      <c r="E32" s="1" t="n">
        <v>-98.23</v>
      </c>
      <c r="F32" s="1" t="n">
        <v>25</v>
      </c>
      <c r="G32" s="5" t="b">
        <f aca="false">FALSE()</f>
        <v>0</v>
      </c>
    </row>
    <row r="33" customFormat="false" ht="15" hidden="false" customHeight="false" outlineLevel="0" collapsed="false">
      <c r="A33" s="1" t="s">
        <v>9</v>
      </c>
      <c r="B33" s="1" t="s">
        <v>47</v>
      </c>
      <c r="C33" s="1" t="n">
        <v>169983</v>
      </c>
      <c r="D33" s="1" t="n">
        <v>31.9974</v>
      </c>
      <c r="E33" s="1" t="n">
        <v>-102.0779</v>
      </c>
      <c r="F33" s="1" t="n">
        <v>15</v>
      </c>
      <c r="G33" s="5" t="b">
        <f aca="false">FALSE()</f>
        <v>0</v>
      </c>
    </row>
    <row r="34" customFormat="false" ht="15" hidden="false" customHeight="false" outlineLevel="0" collapsed="false">
      <c r="A34" s="1" t="s">
        <v>9</v>
      </c>
      <c r="B34" s="1" t="s">
        <v>48</v>
      </c>
      <c r="C34" s="1" t="n">
        <v>165441</v>
      </c>
      <c r="D34" s="1" t="n">
        <v>31.8457</v>
      </c>
      <c r="E34" s="1" t="n">
        <v>-102.3677</v>
      </c>
      <c r="F34" s="1" t="n">
        <v>15</v>
      </c>
      <c r="G34" s="5" t="b">
        <f aca="false">FALSE()</f>
        <v>0</v>
      </c>
    </row>
    <row r="35" customFormat="false" ht="15" hidden="false" customHeight="false" outlineLevel="0" collapsed="false">
      <c r="A35" s="1" t="s">
        <v>9</v>
      </c>
      <c r="B35" s="1" t="s">
        <v>49</v>
      </c>
      <c r="C35" s="1" t="n">
        <v>120003</v>
      </c>
      <c r="D35" s="1" t="n">
        <v>31.4638</v>
      </c>
      <c r="E35" s="1" t="n">
        <v>-100.437</v>
      </c>
      <c r="F35" s="1" t="n">
        <v>15</v>
      </c>
      <c r="G35" s="5" t="b">
        <f aca="false">FALSE()</f>
        <v>0</v>
      </c>
    </row>
    <row r="36" customFormat="false" ht="15" hidden="false" customHeight="false" outlineLevel="0" collapsed="false">
      <c r="A36" s="1" t="s">
        <v>9</v>
      </c>
      <c r="B36" s="1" t="s">
        <v>50</v>
      </c>
      <c r="C36" s="1" t="n">
        <v>2558143</v>
      </c>
      <c r="D36" s="1" t="n">
        <v>29.4241</v>
      </c>
      <c r="E36" s="1" t="n">
        <v>-98.4936</v>
      </c>
      <c r="F36" s="1" t="n">
        <v>25</v>
      </c>
      <c r="G36" s="5" t="b">
        <f aca="false">FALSE()</f>
        <v>0</v>
      </c>
    </row>
    <row r="37" customFormat="false" ht="15" hidden="false" customHeight="false" outlineLevel="0" collapsed="false">
      <c r="A37" s="1" t="s">
        <v>9</v>
      </c>
      <c r="B37" s="1" t="s">
        <v>51</v>
      </c>
      <c r="C37" s="1" t="n">
        <v>150000</v>
      </c>
      <c r="D37" s="1" t="n">
        <v>29.6197</v>
      </c>
      <c r="E37" s="1" t="n">
        <v>-95.6349</v>
      </c>
      <c r="F37" s="1" t="n">
        <v>15</v>
      </c>
      <c r="G37" s="5" t="b">
        <f aca="false">FALSE()</f>
        <v>0</v>
      </c>
    </row>
    <row r="38" customFormat="false" ht="15" hidden="false" customHeight="false" outlineLevel="0" collapsed="false">
      <c r="A38" s="1" t="s">
        <v>9</v>
      </c>
      <c r="B38" s="1" t="s">
        <v>52</v>
      </c>
      <c r="C38" s="1" t="n">
        <v>250000</v>
      </c>
      <c r="D38" s="1" t="n">
        <v>31.0982</v>
      </c>
      <c r="E38" s="1" t="n">
        <v>-97.3428</v>
      </c>
      <c r="F38" s="1" t="n">
        <v>15</v>
      </c>
      <c r="G38" s="5" t="b">
        <f aca="false">FALSE()</f>
        <v>0</v>
      </c>
    </row>
    <row r="39" customFormat="false" ht="15" hidden="false" customHeight="false" outlineLevel="0" collapsed="false">
      <c r="A39" s="1" t="s">
        <v>9</v>
      </c>
      <c r="B39" s="1" t="s">
        <v>53</v>
      </c>
      <c r="C39" s="1" t="n">
        <v>150098</v>
      </c>
      <c r="D39" s="1" t="n">
        <v>33.4252</v>
      </c>
      <c r="E39" s="1" t="n">
        <v>-94.0476</v>
      </c>
      <c r="F39" s="1" t="n">
        <v>15</v>
      </c>
      <c r="G39" s="5" t="b">
        <f aca="false">FALSE()</f>
        <v>0</v>
      </c>
    </row>
    <row r="40" customFormat="false" ht="15" hidden="false" customHeight="false" outlineLevel="0" collapsed="false">
      <c r="A40" s="1" t="s">
        <v>9</v>
      </c>
      <c r="B40" s="1" t="s">
        <v>54</v>
      </c>
      <c r="C40" s="1" t="n">
        <v>250000</v>
      </c>
      <c r="D40" s="1" t="n">
        <v>30.1658</v>
      </c>
      <c r="E40" s="1" t="n">
        <v>-95.4613</v>
      </c>
      <c r="F40" s="1" t="n">
        <v>15</v>
      </c>
      <c r="G40" s="5" t="b">
        <f aca="false">FALSE()</f>
        <v>0</v>
      </c>
    </row>
    <row r="41" customFormat="false" ht="15" hidden="false" customHeight="false" outlineLevel="0" collapsed="false">
      <c r="A41" s="1" t="s">
        <v>9</v>
      </c>
      <c r="B41" s="1" t="s">
        <v>55</v>
      </c>
      <c r="C41" s="1" t="n">
        <v>230221</v>
      </c>
      <c r="D41" s="1" t="n">
        <v>32.3513</v>
      </c>
      <c r="E41" s="1" t="n">
        <v>-95.3011</v>
      </c>
      <c r="F41" s="1" t="n">
        <v>15</v>
      </c>
      <c r="G41" s="5" t="b">
        <f aca="false">FALSE()</f>
        <v>0</v>
      </c>
    </row>
    <row r="42" customFormat="false" ht="15" hidden="false" customHeight="false" outlineLevel="0" collapsed="false">
      <c r="A42" s="1" t="s">
        <v>9</v>
      </c>
      <c r="B42" s="1" t="s">
        <v>56</v>
      </c>
      <c r="C42" s="1" t="n">
        <v>276316</v>
      </c>
      <c r="D42" s="1" t="n">
        <v>31.5493</v>
      </c>
      <c r="E42" s="1" t="n">
        <v>-97.1467</v>
      </c>
      <c r="F42" s="1" t="n">
        <v>20</v>
      </c>
      <c r="G42" s="5" t="b">
        <f aca="false">FALSE()</f>
        <v>0</v>
      </c>
    </row>
    <row r="43" customFormat="false" ht="15" hidden="false" customHeight="false" outlineLevel="0" collapsed="false">
      <c r="A43" s="1" t="s">
        <v>9</v>
      </c>
      <c r="B43" s="1" t="s">
        <v>57</v>
      </c>
      <c r="C43" s="1" t="n">
        <v>151506</v>
      </c>
      <c r="D43" s="1" t="n">
        <v>33.9137</v>
      </c>
      <c r="E43" s="1" t="n">
        <v>-98.4934</v>
      </c>
      <c r="F43" s="1" t="n">
        <v>15</v>
      </c>
      <c r="G43" s="5" t="b">
        <f aca="false">FALSE()</f>
        <v>0</v>
      </c>
    </row>
    <row r="44" customFormat="false" ht="15" hidden="false" customHeight="false" outlineLevel="0" collapsed="false">
      <c r="A44" s="1" t="s">
        <v>15</v>
      </c>
      <c r="B44" s="1" t="s">
        <v>58</v>
      </c>
      <c r="C44" s="1" t="n">
        <v>12997353</v>
      </c>
      <c r="D44" s="2" t="n">
        <v>34.0649</v>
      </c>
      <c r="E44" s="1" t="n">
        <v>-118.2471</v>
      </c>
      <c r="F44" s="1" t="n">
        <v>25</v>
      </c>
      <c r="G44" s="5" t="b">
        <f aca="false">FALSE()</f>
        <v>0</v>
      </c>
    </row>
    <row r="45" customFormat="false" ht="15" hidden="false" customHeight="false" outlineLevel="0" collapsed="false">
      <c r="A45" s="1" t="s">
        <v>15</v>
      </c>
      <c r="B45" s="1" t="s">
        <v>59</v>
      </c>
      <c r="C45" s="1" t="n">
        <v>4749008</v>
      </c>
      <c r="D45" s="2" t="n">
        <v>37.7766</v>
      </c>
      <c r="E45" s="2" t="n">
        <v>-122.4201</v>
      </c>
      <c r="F45" s="1" t="n">
        <v>25</v>
      </c>
      <c r="G45" s="5" t="b">
        <f aca="false">FALSE()</f>
        <v>0</v>
      </c>
    </row>
    <row r="46" customFormat="false" ht="15" hidden="false" customHeight="false" outlineLevel="0" collapsed="false">
      <c r="A46" s="1" t="s">
        <v>15</v>
      </c>
      <c r="B46" s="1" t="s">
        <v>60</v>
      </c>
      <c r="C46" s="1" t="n">
        <v>4599839</v>
      </c>
      <c r="D46" s="2" t="n">
        <v>33.9958</v>
      </c>
      <c r="E46" s="2" t="n">
        <v>-117.3757</v>
      </c>
      <c r="F46" s="1" t="n">
        <v>25</v>
      </c>
      <c r="G46" s="5" t="b">
        <f aca="false">FALSE()</f>
        <v>0</v>
      </c>
    </row>
    <row r="47" customFormat="false" ht="15" hidden="false" customHeight="false" outlineLevel="0" collapsed="false">
      <c r="A47" s="1" t="s">
        <v>15</v>
      </c>
      <c r="B47" s="1" t="s">
        <v>61</v>
      </c>
      <c r="C47" s="1" t="n">
        <v>3298634</v>
      </c>
      <c r="D47" s="1" t="n">
        <v>32.7157</v>
      </c>
      <c r="E47" s="1" t="n">
        <v>-117.1611</v>
      </c>
      <c r="F47" s="1" t="n">
        <v>25</v>
      </c>
      <c r="G47" s="5" t="b">
        <f aca="false">TRUE()</f>
        <v>1</v>
      </c>
    </row>
    <row r="48" customFormat="false" ht="15" hidden="false" customHeight="false" outlineLevel="0" collapsed="false">
      <c r="A48" s="2" t="s">
        <v>15</v>
      </c>
      <c r="B48" s="2" t="s">
        <v>62</v>
      </c>
      <c r="C48" s="2" t="n">
        <v>2397382</v>
      </c>
      <c r="D48" s="2" t="n">
        <v>38.5816</v>
      </c>
      <c r="E48" s="2" t="n">
        <v>-121.4944</v>
      </c>
      <c r="F48" s="2" t="n">
        <v>25</v>
      </c>
      <c r="G48" s="5" t="b">
        <f aca="false">FALSE()</f>
        <v>0</v>
      </c>
    </row>
    <row r="49" customFormat="false" ht="15" hidden="false" customHeight="false" outlineLevel="0" collapsed="false">
      <c r="A49" s="2" t="s">
        <v>15</v>
      </c>
      <c r="B49" s="2" t="s">
        <v>63</v>
      </c>
      <c r="C49" s="2" t="n">
        <v>1936259</v>
      </c>
      <c r="D49" s="2" t="n">
        <v>37.3382</v>
      </c>
      <c r="E49" s="2" t="n">
        <v>-121.8863</v>
      </c>
      <c r="F49" s="2" t="n">
        <v>25</v>
      </c>
      <c r="G49" s="5" t="b">
        <f aca="false">FALSE()</f>
        <v>0</v>
      </c>
    </row>
    <row r="50" customFormat="false" ht="15" hidden="false" customHeight="false" outlineLevel="0" collapsed="false">
      <c r="A50" s="2" t="s">
        <v>15</v>
      </c>
      <c r="B50" s="2" t="s">
        <v>64</v>
      </c>
      <c r="C50" s="2" t="n">
        <v>1008654</v>
      </c>
      <c r="D50" s="2" t="n">
        <v>36.7378</v>
      </c>
      <c r="E50" s="2" t="n">
        <v>-119.7871</v>
      </c>
      <c r="F50" s="2" t="n">
        <v>25</v>
      </c>
      <c r="G50" s="5" t="b">
        <f aca="false">FALSE()</f>
        <v>0</v>
      </c>
    </row>
    <row r="51" customFormat="false" ht="15" hidden="false" customHeight="false" outlineLevel="0" collapsed="false">
      <c r="A51" s="2" t="s">
        <v>15</v>
      </c>
      <c r="B51" s="2" t="s">
        <v>65</v>
      </c>
      <c r="C51" s="2" t="n">
        <v>900202</v>
      </c>
      <c r="D51" s="2" t="n">
        <v>35.3733</v>
      </c>
      <c r="E51" s="2" t="n">
        <v>-119.0187</v>
      </c>
      <c r="F51" s="2" t="n">
        <v>25</v>
      </c>
      <c r="G51" s="5" t="b">
        <f aca="false">FALSE()</f>
        <v>0</v>
      </c>
    </row>
    <row r="52" customFormat="false" ht="15" hidden="false" customHeight="false" outlineLevel="0" collapsed="false">
      <c r="A52" s="2" t="s">
        <v>15</v>
      </c>
      <c r="B52" s="2" t="s">
        <v>66</v>
      </c>
      <c r="C52" s="2" t="n">
        <v>779233</v>
      </c>
      <c r="D52" s="2" t="n">
        <v>37.9577</v>
      </c>
      <c r="E52" s="2" t="n">
        <v>-121.2908</v>
      </c>
      <c r="F52" s="2" t="n">
        <v>25</v>
      </c>
      <c r="G52" s="5" t="b">
        <f aca="false">FALSE()</f>
        <v>0</v>
      </c>
    </row>
    <row r="53" customFormat="false" ht="15" hidden="false" customHeight="false" outlineLevel="0" collapsed="false">
      <c r="A53" s="2" t="s">
        <v>15</v>
      </c>
      <c r="B53" s="2" t="s">
        <v>67</v>
      </c>
      <c r="C53" s="2" t="n">
        <v>846006</v>
      </c>
      <c r="D53" s="2" t="n">
        <v>34.1975</v>
      </c>
      <c r="E53" s="2" t="n">
        <v>-119.1771</v>
      </c>
      <c r="F53" s="2" t="n">
        <v>25</v>
      </c>
      <c r="G53" s="5" t="b">
        <f aca="false">TRUE()</f>
        <v>1</v>
      </c>
    </row>
    <row r="54" customFormat="false" ht="15" hidden="false" customHeight="false" outlineLevel="0" collapsed="false">
      <c r="A54" s="2" t="s">
        <v>15</v>
      </c>
      <c r="B54" s="2" t="s">
        <v>68</v>
      </c>
      <c r="C54" s="2" t="n">
        <v>552878</v>
      </c>
      <c r="D54" s="2" t="n">
        <v>37.6391</v>
      </c>
      <c r="E54" s="2" t="n">
        <v>-120.9969</v>
      </c>
      <c r="F54" s="2" t="n">
        <v>20</v>
      </c>
      <c r="G54" s="5" t="b">
        <f aca="false">FALSE()</f>
        <v>0</v>
      </c>
    </row>
    <row r="55" customFormat="false" ht="15" hidden="false" customHeight="false" outlineLevel="0" collapsed="false">
      <c r="A55" s="2" t="s">
        <v>15</v>
      </c>
      <c r="B55" s="2" t="s">
        <v>69</v>
      </c>
      <c r="C55" s="2" t="n">
        <v>494336</v>
      </c>
      <c r="D55" s="2" t="n">
        <v>38.4405</v>
      </c>
      <c r="E55" s="2" t="n">
        <v>-122.7144</v>
      </c>
      <c r="F55" s="2" t="n">
        <v>20</v>
      </c>
      <c r="G55" s="5" t="b">
        <f aca="false">FALSE()</f>
        <v>0</v>
      </c>
    </row>
    <row r="56" customFormat="false" ht="15" hidden="false" customHeight="false" outlineLevel="0" collapsed="false">
      <c r="A56" s="2" t="s">
        <v>15</v>
      </c>
      <c r="B56" s="2" t="s">
        <v>70</v>
      </c>
      <c r="C56" s="2" t="n">
        <v>447643</v>
      </c>
      <c r="D56" s="2" t="n">
        <v>38.1041</v>
      </c>
      <c r="E56" s="2" t="n">
        <v>-122.2566</v>
      </c>
      <c r="F56" s="2" t="n">
        <v>20</v>
      </c>
      <c r="G56" s="5" t="b">
        <f aca="false">TRUE()</f>
        <v>1</v>
      </c>
    </row>
    <row r="57" customFormat="false" ht="15" hidden="false" customHeight="false" outlineLevel="0" collapsed="false">
      <c r="A57" s="2" t="s">
        <v>15</v>
      </c>
      <c r="B57" s="2" t="s">
        <v>71</v>
      </c>
      <c r="C57" s="2" t="n">
        <v>448229</v>
      </c>
      <c r="D57" s="2" t="n">
        <v>34.4208</v>
      </c>
      <c r="E57" s="2" t="n">
        <v>-119.6982</v>
      </c>
      <c r="F57" s="2" t="n">
        <v>20</v>
      </c>
      <c r="G57" s="5" t="b">
        <f aca="false">TRUE()</f>
        <v>1</v>
      </c>
    </row>
    <row r="58" customFormat="false" ht="15" hidden="false" customHeight="false" outlineLevel="0" collapsed="false">
      <c r="A58" s="2" t="s">
        <v>15</v>
      </c>
      <c r="B58" s="2" t="s">
        <v>72</v>
      </c>
      <c r="C58" s="2" t="n">
        <v>434061</v>
      </c>
      <c r="D58" s="2" t="n">
        <v>36.6777</v>
      </c>
      <c r="E58" s="2" t="n">
        <v>-121.6555</v>
      </c>
      <c r="F58" s="2" t="n">
        <v>20</v>
      </c>
      <c r="G58" s="5" t="b">
        <f aca="false">FALSE()</f>
        <v>0</v>
      </c>
    </row>
    <row r="59" customFormat="false" ht="15" hidden="false" customHeight="false" outlineLevel="0" collapsed="false">
      <c r="A59" s="2" t="s">
        <v>15</v>
      </c>
      <c r="B59" s="2" t="s">
        <v>73</v>
      </c>
      <c r="C59" s="2" t="n">
        <v>473117</v>
      </c>
      <c r="D59" s="2" t="n">
        <v>36.3302</v>
      </c>
      <c r="E59" s="2" t="n">
        <v>-119.2921</v>
      </c>
      <c r="F59" s="2" t="n">
        <v>20</v>
      </c>
      <c r="G59" s="5" t="b">
        <f aca="false">FALSE()</f>
        <v>0</v>
      </c>
    </row>
    <row r="60" customFormat="false" ht="15" hidden="false" customHeight="false" outlineLevel="0" collapsed="false">
      <c r="A60" s="2" t="s">
        <v>15</v>
      </c>
      <c r="B60" s="2" t="s">
        <v>74</v>
      </c>
      <c r="C60" s="2" t="n">
        <v>270861</v>
      </c>
      <c r="D60" s="2" t="n">
        <v>36.9741</v>
      </c>
      <c r="E60" s="2" t="n">
        <v>-122.0308</v>
      </c>
      <c r="F60" s="2" t="n">
        <v>20</v>
      </c>
      <c r="G60" s="5" t="b">
        <f aca="false">TRUE()</f>
        <v>1</v>
      </c>
    </row>
    <row r="61" customFormat="false" ht="15" hidden="false" customHeight="false" outlineLevel="0" collapsed="false">
      <c r="A61" s="2" t="s">
        <v>15</v>
      </c>
      <c r="B61" s="2" t="s">
        <v>75</v>
      </c>
      <c r="C61" s="2" t="n">
        <v>281202</v>
      </c>
      <c r="D61" s="2" t="n">
        <v>37.3022</v>
      </c>
      <c r="E61" s="2" t="n">
        <v>-120.482</v>
      </c>
      <c r="F61" s="2" t="n">
        <v>20</v>
      </c>
      <c r="G61" s="5" t="b">
        <f aca="false">FALSE()</f>
        <v>0</v>
      </c>
    </row>
    <row r="62" customFormat="false" ht="15" hidden="false" customHeight="false" outlineLevel="0" collapsed="false">
      <c r="A62" s="2" t="s">
        <v>15</v>
      </c>
      <c r="B62" s="2" t="s">
        <v>76</v>
      </c>
      <c r="C62" s="2" t="n">
        <v>282424</v>
      </c>
      <c r="D62" s="2" t="n">
        <v>35.2828</v>
      </c>
      <c r="E62" s="2" t="n">
        <v>-120.6596</v>
      </c>
      <c r="F62" s="2" t="n">
        <v>20</v>
      </c>
      <c r="G62" s="5" t="b">
        <f aca="false">TRUE()</f>
        <v>1</v>
      </c>
    </row>
    <row r="63" customFormat="false" ht="15" hidden="false" customHeight="false" outlineLevel="0" collapsed="false">
      <c r="A63" s="2" t="s">
        <v>15</v>
      </c>
      <c r="B63" s="2" t="s">
        <v>77</v>
      </c>
      <c r="C63" s="2" t="n">
        <v>220000</v>
      </c>
      <c r="D63" s="2" t="n">
        <v>39.7285</v>
      </c>
      <c r="E63" s="2" t="n">
        <v>-121.8375</v>
      </c>
      <c r="F63" s="2" t="n">
        <v>15</v>
      </c>
      <c r="G63" s="5" t="b">
        <f aca="false">FALSE()</f>
        <v>0</v>
      </c>
    </row>
    <row r="64" customFormat="false" ht="15" hidden="false" customHeight="false" outlineLevel="0" collapsed="false">
      <c r="A64" s="2" t="s">
        <v>15</v>
      </c>
      <c r="B64" s="2" t="s">
        <v>78</v>
      </c>
      <c r="C64" s="2" t="n">
        <v>171542</v>
      </c>
      <c r="D64" s="2" t="n">
        <v>39.1404</v>
      </c>
      <c r="E64" s="2" t="n">
        <v>-121.6169</v>
      </c>
      <c r="F64" s="2" t="n">
        <v>15</v>
      </c>
      <c r="G64" s="5" t="b">
        <f aca="false">FALSE()</f>
        <v>0</v>
      </c>
    </row>
    <row r="65" customFormat="false" ht="15" hidden="false" customHeight="false" outlineLevel="0" collapsed="false">
      <c r="A65" s="2" t="s">
        <v>15</v>
      </c>
      <c r="B65" s="2" t="s">
        <v>79</v>
      </c>
      <c r="C65" s="2" t="n">
        <v>182139</v>
      </c>
      <c r="D65" s="2" t="n">
        <v>40.5865</v>
      </c>
      <c r="E65" s="2" t="n">
        <v>-122.3917</v>
      </c>
      <c r="F65" s="2" t="n">
        <v>15</v>
      </c>
      <c r="G65" s="5" t="b">
        <f aca="false">FALSE()</f>
        <v>0</v>
      </c>
    </row>
    <row r="66" customFormat="false" ht="15" hidden="false" customHeight="false" outlineLevel="0" collapsed="false">
      <c r="A66" s="2" t="s">
        <v>15</v>
      </c>
      <c r="B66" s="2" t="s">
        <v>80</v>
      </c>
      <c r="C66" s="2" t="n">
        <v>138019</v>
      </c>
      <c r="D66" s="2" t="n">
        <v>38.2975</v>
      </c>
      <c r="E66" s="2" t="n">
        <v>-122.2869</v>
      </c>
      <c r="F66" s="2" t="n">
        <v>15</v>
      </c>
      <c r="G66" s="5" t="b">
        <f aca="false">FALSE()</f>
        <v>0</v>
      </c>
    </row>
    <row r="67" customFormat="false" ht="15" hidden="false" customHeight="false" outlineLevel="0" collapsed="false">
      <c r="A67" s="2" t="s">
        <v>15</v>
      </c>
      <c r="B67" s="2" t="s">
        <v>81</v>
      </c>
      <c r="C67" s="2" t="n">
        <v>153443</v>
      </c>
      <c r="D67" s="2" t="n">
        <v>36.3275</v>
      </c>
      <c r="E67" s="2" t="n">
        <v>-119.6457</v>
      </c>
      <c r="F67" s="2" t="n">
        <v>15</v>
      </c>
      <c r="G67" s="5" t="b">
        <f aca="false">FALSE()</f>
        <v>0</v>
      </c>
    </row>
    <row r="68" customFormat="false" ht="15" hidden="false" customHeight="false" outlineLevel="0" collapsed="false">
      <c r="A68" s="2" t="s">
        <v>15</v>
      </c>
      <c r="B68" s="2" t="s">
        <v>82</v>
      </c>
      <c r="C68" s="2" t="n">
        <v>157327</v>
      </c>
      <c r="D68" s="2" t="n">
        <v>36.9613</v>
      </c>
      <c r="E68" s="2" t="n">
        <v>-120.0607</v>
      </c>
      <c r="F68" s="2" t="n">
        <v>15</v>
      </c>
      <c r="G68" s="5" t="b">
        <f aca="false">FALSE()</f>
        <v>0</v>
      </c>
    </row>
    <row r="69" customFormat="false" ht="15" hidden="false" customHeight="false" outlineLevel="0" collapsed="false">
      <c r="A69" s="1" t="s">
        <v>17</v>
      </c>
      <c r="B69" s="1" t="s">
        <v>83</v>
      </c>
      <c r="C69" s="1" t="n">
        <v>5070110</v>
      </c>
      <c r="D69" s="1" t="n">
        <v>33.4484</v>
      </c>
      <c r="E69" s="1" t="n">
        <v>-112.074</v>
      </c>
      <c r="F69" s="1" t="n">
        <v>25</v>
      </c>
      <c r="G69" s="5" t="b">
        <f aca="false">FALSE()</f>
        <v>0</v>
      </c>
    </row>
    <row r="70" customFormat="false" ht="15" hidden="false" customHeight="false" outlineLevel="0" collapsed="false">
      <c r="A70" s="1" t="s">
        <v>17</v>
      </c>
      <c r="B70" s="1" t="s">
        <v>84</v>
      </c>
      <c r="C70" s="1" t="n">
        <v>1043433</v>
      </c>
      <c r="D70" s="1" t="n">
        <v>32.2226</v>
      </c>
      <c r="E70" s="1" t="n">
        <v>-110.9747</v>
      </c>
      <c r="F70" s="1" t="n">
        <v>25</v>
      </c>
      <c r="G70" s="5" t="b">
        <f aca="false">FALSE()</f>
        <v>0</v>
      </c>
    </row>
    <row r="71" customFormat="false" ht="15" hidden="false" customHeight="false" outlineLevel="0" collapsed="false">
      <c r="A71" s="1" t="s">
        <v>17</v>
      </c>
      <c r="B71" s="1" t="s">
        <v>85</v>
      </c>
      <c r="C71" s="1" t="n">
        <v>145101</v>
      </c>
      <c r="D71" s="1" t="n">
        <v>35.1983</v>
      </c>
      <c r="E71" s="1" t="n">
        <v>-111.6513</v>
      </c>
      <c r="F71" s="1" t="n">
        <v>15</v>
      </c>
      <c r="G71" s="5" t="b">
        <f aca="false">FALSE()</f>
        <v>0</v>
      </c>
    </row>
    <row r="72" customFormat="false" ht="15" hidden="false" customHeight="false" outlineLevel="0" collapsed="false">
      <c r="A72" s="1" t="s">
        <v>17</v>
      </c>
      <c r="B72" s="1" t="s">
        <v>86</v>
      </c>
      <c r="C72" s="1" t="n">
        <v>213477</v>
      </c>
      <c r="D72" s="1" t="n">
        <v>34.4839</v>
      </c>
      <c r="E72" s="1" t="n">
        <v>-114.3225</v>
      </c>
      <c r="F72" s="1" t="n">
        <v>15</v>
      </c>
      <c r="G72" s="5" t="b">
        <f aca="false">TRUE()</f>
        <v>1</v>
      </c>
    </row>
    <row r="73" customFormat="false" ht="15" hidden="false" customHeight="false" outlineLevel="0" collapsed="false">
      <c r="A73" s="1" t="s">
        <v>17</v>
      </c>
      <c r="B73" s="1" t="s">
        <v>87</v>
      </c>
      <c r="C73" s="1" t="n">
        <v>237203</v>
      </c>
      <c r="D73" s="1" t="n">
        <v>34.61</v>
      </c>
      <c r="E73" s="1" t="n">
        <v>-112.3157</v>
      </c>
      <c r="F73" s="1" t="n">
        <v>15</v>
      </c>
      <c r="G73" s="5" t="b">
        <f aca="false">FALSE()</f>
        <v>0</v>
      </c>
    </row>
    <row r="74" customFormat="false" ht="15" hidden="false" customHeight="false" outlineLevel="0" collapsed="false">
      <c r="A74" s="1" t="s">
        <v>17</v>
      </c>
      <c r="B74" s="1" t="s">
        <v>88</v>
      </c>
      <c r="C74" s="1" t="n">
        <v>126442</v>
      </c>
      <c r="D74" s="1" t="n">
        <v>31.5545</v>
      </c>
      <c r="E74" s="1" t="n">
        <v>-110.3037</v>
      </c>
      <c r="F74" s="1" t="n">
        <v>15</v>
      </c>
      <c r="G74" s="5" t="b">
        <f aca="false">FALSE()</f>
        <v>0</v>
      </c>
    </row>
    <row r="75" customFormat="false" ht="15" hidden="false" customHeight="false" outlineLevel="0" collapsed="false">
      <c r="A75" s="1" t="s">
        <v>17</v>
      </c>
      <c r="B75" s="1" t="s">
        <v>89</v>
      </c>
      <c r="C75" s="1" t="n">
        <v>203584</v>
      </c>
      <c r="D75" s="1" t="n">
        <v>32.6927</v>
      </c>
      <c r="E75" s="1" t="n">
        <v>-114.6277</v>
      </c>
      <c r="F75" s="1" t="n">
        <v>15</v>
      </c>
      <c r="G75" s="5" t="b">
        <f aca="false">TRUE()</f>
        <v>1</v>
      </c>
    </row>
    <row r="78" customFormat="false" ht="15" hidden="false" customHeight="false" outlineLevel="0" collapsed="false">
      <c r="A78" s="1" t="s">
        <v>90</v>
      </c>
    </row>
    <row r="79" customFormat="false" ht="15" hidden="false" customHeight="false" outlineLevel="0" collapsed="false">
      <c r="A79" s="1" t="s">
        <v>91</v>
      </c>
      <c r="B79" s="1" t="s">
        <v>92</v>
      </c>
      <c r="C79" s="1" t="s">
        <v>21</v>
      </c>
      <c r="D79" s="1" t="s">
        <v>24</v>
      </c>
      <c r="E79" s="1" t="s">
        <v>25</v>
      </c>
      <c r="F79" s="1" t="s">
        <v>93</v>
      </c>
      <c r="G79" s="1" t="s">
        <v>94</v>
      </c>
      <c r="H79" s="1" t="s">
        <v>95</v>
      </c>
      <c r="I79" s="1" t="s">
        <v>96</v>
      </c>
      <c r="J79" s="1" t="s">
        <v>97</v>
      </c>
    </row>
    <row r="80" customFormat="false" ht="15" hidden="false" customHeight="false" outlineLevel="0" collapsed="false">
      <c r="A80" s="1" t="n">
        <v>75001</v>
      </c>
      <c r="B80" s="1" t="s">
        <v>8</v>
      </c>
      <c r="C80" s="1" t="s">
        <v>9</v>
      </c>
      <c r="D80" s="1" t="n">
        <v>32.96015</v>
      </c>
      <c r="E80" s="1" t="n">
        <v>-96.83808</v>
      </c>
      <c r="F80" s="1" t="s">
        <v>36</v>
      </c>
      <c r="G80" s="1" t="s">
        <v>9</v>
      </c>
      <c r="H80" s="1" t="n">
        <v>32.7767</v>
      </c>
      <c r="I80" s="1" t="n">
        <v>-96.797</v>
      </c>
      <c r="J80" s="1" t="n">
        <v>15.09</v>
      </c>
    </row>
    <row r="81" customFormat="false" ht="15" hidden="false" customHeight="false" outlineLevel="0" collapsed="false">
      <c r="A81" s="1" t="n">
        <v>77550</v>
      </c>
      <c r="B81" s="1" t="s">
        <v>10</v>
      </c>
      <c r="C81" s="1" t="s">
        <v>9</v>
      </c>
      <c r="D81" s="1" t="n">
        <v>29.31021</v>
      </c>
      <c r="E81" s="1" t="n">
        <v>-94.77706</v>
      </c>
      <c r="F81" s="1" t="s">
        <v>39</v>
      </c>
      <c r="G81" s="1" t="s">
        <v>9</v>
      </c>
      <c r="H81" s="1" t="n">
        <v>29.3013</v>
      </c>
      <c r="I81" s="1" t="n">
        <v>-94.7977</v>
      </c>
      <c r="J81" s="1" t="n">
        <v>1.94</v>
      </c>
    </row>
    <row r="82" customFormat="false" ht="15" hidden="false" customHeight="false" outlineLevel="0" collapsed="false">
      <c r="A82" s="1" t="n">
        <v>76201</v>
      </c>
      <c r="B82" s="1" t="s">
        <v>11</v>
      </c>
      <c r="C82" s="1" t="s">
        <v>9</v>
      </c>
      <c r="D82" s="1" t="n">
        <v>33.22122</v>
      </c>
      <c r="E82" s="1" t="n">
        <v>-97.14715</v>
      </c>
      <c r="F82" s="1" t="s">
        <v>30</v>
      </c>
      <c r="G82" s="1" t="s">
        <v>9</v>
      </c>
      <c r="H82" s="1" t="n">
        <v>32.7357</v>
      </c>
      <c r="I82" s="1" t="n">
        <v>-97.1081</v>
      </c>
      <c r="J82" s="1" t="n">
        <v>46.76</v>
      </c>
    </row>
    <row r="83" customFormat="false" ht="15" hidden="false" customHeight="false" outlineLevel="0" collapsed="false">
      <c r="A83" s="1" t="n">
        <v>77523</v>
      </c>
      <c r="B83" s="1" t="s">
        <v>12</v>
      </c>
      <c r="C83" s="1" t="s">
        <v>9</v>
      </c>
      <c r="D83" s="1" t="n">
        <v>29.77598</v>
      </c>
      <c r="E83" s="1" t="n">
        <v>-94.8632</v>
      </c>
      <c r="F83" s="1" t="s">
        <v>41</v>
      </c>
      <c r="G83" s="1" t="s">
        <v>9</v>
      </c>
      <c r="H83" s="1" t="n">
        <v>29.7604</v>
      </c>
      <c r="I83" s="1" t="n">
        <v>-95.3698</v>
      </c>
      <c r="J83" s="1" t="n">
        <v>36.06</v>
      </c>
    </row>
    <row r="84" customFormat="false" ht="15" hidden="false" customHeight="false" outlineLevel="0" collapsed="false">
      <c r="A84" s="1" t="n">
        <v>76011</v>
      </c>
      <c r="B84" s="1" t="s">
        <v>18</v>
      </c>
      <c r="C84" s="1" t="s">
        <v>9</v>
      </c>
      <c r="D84" s="1" t="n">
        <v>32.7543</v>
      </c>
      <c r="E84" s="1" t="n">
        <v>-97.08223</v>
      </c>
      <c r="F84" s="1" t="s">
        <v>30</v>
      </c>
      <c r="G84" s="1" t="s">
        <v>9</v>
      </c>
      <c r="H84" s="1" t="n">
        <v>32.7357</v>
      </c>
      <c r="I84" s="1" t="n">
        <v>-97.1081</v>
      </c>
      <c r="J84" s="1" t="n">
        <v>2.83</v>
      </c>
    </row>
    <row r="85" customFormat="false" ht="15" hidden="false" customHeight="false" outlineLevel="0" collapsed="false">
      <c r="A85" s="1" t="n">
        <v>79720</v>
      </c>
      <c r="B85" s="1" t="s">
        <v>13</v>
      </c>
      <c r="C85" s="1" t="s">
        <v>9</v>
      </c>
      <c r="D85" s="1" t="n">
        <v>32.20171</v>
      </c>
      <c r="E85" s="1" t="n">
        <v>-101.51395</v>
      </c>
      <c r="F85" s="1" t="s">
        <v>47</v>
      </c>
      <c r="G85" s="1" t="s">
        <v>9</v>
      </c>
      <c r="H85" s="1" t="n">
        <v>31.9974</v>
      </c>
      <c r="I85" s="1" t="n">
        <v>-102.0779</v>
      </c>
      <c r="J85" s="1" t="n">
        <v>40.39</v>
      </c>
    </row>
    <row r="86" customFormat="false" ht="15" hidden="false" customHeight="false" outlineLevel="0" collapsed="false">
      <c r="A86" s="2" t="n">
        <v>90802</v>
      </c>
      <c r="B86" s="2" t="s">
        <v>14</v>
      </c>
      <c r="C86" s="1" t="s">
        <v>15</v>
      </c>
      <c r="D86" s="2" t="n">
        <v>33.7466</v>
      </c>
      <c r="E86" s="2" t="n">
        <v>-118.1953</v>
      </c>
      <c r="F86" s="2" t="s">
        <v>58</v>
      </c>
      <c r="G86" s="1" t="s">
        <v>15</v>
      </c>
      <c r="H86" s="2" t="n">
        <v>34.0649</v>
      </c>
      <c r="I86" s="1" t="n">
        <v>-118.2471</v>
      </c>
      <c r="J86" s="1" t="n">
        <v>27.01</v>
      </c>
    </row>
    <row r="87" customFormat="false" ht="15" hidden="false" customHeight="false" outlineLevel="0" collapsed="false">
      <c r="A87" s="1" t="n">
        <v>90747</v>
      </c>
      <c r="B87" s="1" t="s">
        <v>19</v>
      </c>
      <c r="C87" s="1" t="s">
        <v>15</v>
      </c>
      <c r="D87" s="2" t="n">
        <v>33.8971</v>
      </c>
      <c r="E87" s="2" t="n">
        <v>-118.163</v>
      </c>
      <c r="F87" s="2" t="s">
        <v>58</v>
      </c>
      <c r="G87" s="1" t="s">
        <v>15</v>
      </c>
      <c r="H87" s="2" t="n">
        <v>34.0649</v>
      </c>
      <c r="I87" s="1" t="n">
        <v>-118.2471</v>
      </c>
      <c r="J87" s="1" t="n">
        <v>16.05</v>
      </c>
    </row>
    <row r="88" customFormat="false" ht="15" hidden="false" customHeight="false" outlineLevel="0" collapsed="false">
      <c r="A88" s="2" t="n">
        <v>85749</v>
      </c>
      <c r="B88" s="2" t="s">
        <v>16</v>
      </c>
      <c r="C88" s="1" t="s">
        <v>17</v>
      </c>
      <c r="D88" s="2" t="n">
        <v>32.2799</v>
      </c>
      <c r="E88" s="2" t="n">
        <v>-110.6784</v>
      </c>
      <c r="F88" s="1" t="s">
        <v>84</v>
      </c>
      <c r="G88" s="1" t="s">
        <v>17</v>
      </c>
      <c r="H88" s="1" t="n">
        <v>32.2226</v>
      </c>
      <c r="I88" s="1" t="n">
        <v>-110.9747</v>
      </c>
      <c r="J88" s="1" t="n">
        <v>23.81</v>
      </c>
    </row>
    <row r="89" customFormat="false" ht="15" hidden="false" customHeight="false" outlineLevel="0" collapsed="false">
      <c r="B89" s="2"/>
    </row>
    <row r="91" customFormat="false" ht="15" hidden="false" customHeight="false" outlineLevel="0" collapsed="false">
      <c r="A91" s="1" t="s">
        <v>98</v>
      </c>
    </row>
    <row r="92" customFormat="false" ht="15" hidden="false" customHeight="false" outlineLevel="0" collapsed="false">
      <c r="A92" s="6" t="s">
        <v>99</v>
      </c>
      <c r="B92" s="6" t="s">
        <v>100</v>
      </c>
      <c r="C92" s="6" t="s">
        <v>101</v>
      </c>
      <c r="D92" s="6" t="s">
        <v>102</v>
      </c>
      <c r="E92" s="6" t="s">
        <v>103</v>
      </c>
      <c r="F92" s="6" t="s">
        <v>104</v>
      </c>
      <c r="G92" s="6" t="s">
        <v>105</v>
      </c>
      <c r="H92" s="6" t="s">
        <v>106</v>
      </c>
      <c r="I92" s="6" t="s">
        <v>107</v>
      </c>
      <c r="J92" s="6" t="s">
        <v>108</v>
      </c>
      <c r="K92" s="6" t="s">
        <v>109</v>
      </c>
    </row>
    <row r="93" customFormat="false" ht="15" hidden="false" customHeight="false" outlineLevel="0" collapsed="false">
      <c r="A93" s="7" t="n">
        <v>45713</v>
      </c>
      <c r="B93" s="6" t="n">
        <v>76011</v>
      </c>
      <c r="C93" s="6" t="s">
        <v>18</v>
      </c>
      <c r="D93" s="6" t="s">
        <v>9</v>
      </c>
      <c r="E93" s="6" t="n">
        <v>77550</v>
      </c>
      <c r="F93" s="6" t="s">
        <v>10</v>
      </c>
      <c r="G93" s="6" t="s">
        <v>9</v>
      </c>
      <c r="H93" s="6" t="s">
        <v>110</v>
      </c>
      <c r="I93" s="6" t="n">
        <v>305.39</v>
      </c>
      <c r="J93" s="6" t="n">
        <v>350</v>
      </c>
      <c r="K93" s="6" t="n">
        <v>1.15</v>
      </c>
    </row>
    <row r="94" customFormat="false" ht="15" hidden="false" customHeight="false" outlineLevel="0" collapsed="false">
      <c r="A94" s="7" t="n">
        <v>45789</v>
      </c>
      <c r="B94" s="6" t="n">
        <v>76011</v>
      </c>
      <c r="C94" s="6" t="s">
        <v>18</v>
      </c>
      <c r="D94" s="6" t="s">
        <v>9</v>
      </c>
      <c r="E94" s="6" t="n">
        <v>77550</v>
      </c>
      <c r="F94" s="6" t="s">
        <v>10</v>
      </c>
      <c r="G94" s="6" t="s">
        <v>9</v>
      </c>
      <c r="H94" s="6" t="s">
        <v>111</v>
      </c>
      <c r="I94" s="6" t="n">
        <v>305.39</v>
      </c>
      <c r="J94" s="6" t="n">
        <v>350</v>
      </c>
      <c r="K94" s="6" t="n">
        <v>1.15</v>
      </c>
    </row>
    <row r="95" customFormat="false" ht="15" hidden="false" customHeight="false" outlineLevel="0" collapsed="false">
      <c r="A95" s="7" t="n">
        <v>45800</v>
      </c>
      <c r="B95" s="6" t="n">
        <v>76011</v>
      </c>
      <c r="C95" s="6" t="s">
        <v>18</v>
      </c>
      <c r="D95" s="6" t="s">
        <v>9</v>
      </c>
      <c r="E95" s="6" t="n">
        <v>77550</v>
      </c>
      <c r="F95" s="6" t="s">
        <v>10</v>
      </c>
      <c r="G95" s="6" t="s">
        <v>9</v>
      </c>
      <c r="H95" s="6" t="s">
        <v>112</v>
      </c>
      <c r="I95" s="6" t="n">
        <v>305.39</v>
      </c>
      <c r="J95" s="6" t="n">
        <v>350</v>
      </c>
      <c r="K95" s="6" t="n">
        <v>1.15</v>
      </c>
    </row>
    <row r="96" customFormat="false" ht="15" hidden="false" customHeight="false" outlineLevel="0" collapsed="false">
      <c r="A96" s="7" t="n">
        <v>45807</v>
      </c>
      <c r="B96" s="6" t="n">
        <v>76011</v>
      </c>
      <c r="C96" s="6" t="s">
        <v>18</v>
      </c>
      <c r="D96" s="6" t="s">
        <v>9</v>
      </c>
      <c r="E96" s="6" t="n">
        <v>77550</v>
      </c>
      <c r="F96" s="6" t="s">
        <v>10</v>
      </c>
      <c r="G96" s="6" t="s">
        <v>9</v>
      </c>
      <c r="H96" s="6" t="s">
        <v>110</v>
      </c>
      <c r="I96" s="6" t="n">
        <v>305.39</v>
      </c>
      <c r="J96" s="6" t="n">
        <v>350</v>
      </c>
      <c r="K96" s="6" t="n">
        <v>1.15</v>
      </c>
    </row>
    <row r="97" customFormat="false" ht="15" hidden="false" customHeight="false" outlineLevel="0" collapsed="false">
      <c r="A97" s="7" t="n">
        <v>45818</v>
      </c>
      <c r="B97" s="6" t="n">
        <v>76011</v>
      </c>
      <c r="C97" s="6" t="s">
        <v>18</v>
      </c>
      <c r="D97" s="6" t="s">
        <v>9</v>
      </c>
      <c r="E97" s="6" t="n">
        <v>77550</v>
      </c>
      <c r="F97" s="6" t="s">
        <v>10</v>
      </c>
      <c r="G97" s="6" t="s">
        <v>9</v>
      </c>
      <c r="H97" s="6" t="s">
        <v>110</v>
      </c>
      <c r="I97" s="6" t="n">
        <v>305.39</v>
      </c>
      <c r="J97" s="6" t="n">
        <v>350</v>
      </c>
      <c r="K97" s="6" t="n">
        <v>1.15</v>
      </c>
    </row>
    <row r="98" customFormat="false" ht="15" hidden="false" customHeight="false" outlineLevel="0" collapsed="false">
      <c r="A98" s="7" t="n">
        <v>45819</v>
      </c>
      <c r="B98" s="6" t="n">
        <v>76011</v>
      </c>
      <c r="C98" s="6" t="s">
        <v>18</v>
      </c>
      <c r="D98" s="6" t="s">
        <v>9</v>
      </c>
      <c r="E98" s="6" t="n">
        <v>77550</v>
      </c>
      <c r="F98" s="6" t="s">
        <v>10</v>
      </c>
      <c r="G98" s="6" t="s">
        <v>9</v>
      </c>
      <c r="H98" s="6" t="s">
        <v>111</v>
      </c>
      <c r="I98" s="6" t="n">
        <v>305.39</v>
      </c>
      <c r="J98" s="6" t="n">
        <v>350</v>
      </c>
      <c r="K98" s="6" t="n">
        <v>1.15</v>
      </c>
    </row>
    <row r="99" customFormat="false" ht="15" hidden="false" customHeight="false" outlineLevel="0" collapsed="false">
      <c r="A99" s="7" t="n">
        <v>45826</v>
      </c>
      <c r="B99" s="6" t="n">
        <v>76011</v>
      </c>
      <c r="C99" s="6" t="s">
        <v>18</v>
      </c>
      <c r="D99" s="6" t="s">
        <v>9</v>
      </c>
      <c r="E99" s="6" t="n">
        <v>77550</v>
      </c>
      <c r="F99" s="6" t="s">
        <v>10</v>
      </c>
      <c r="G99" s="6" t="s">
        <v>9</v>
      </c>
      <c r="H99" s="6" t="s">
        <v>111</v>
      </c>
      <c r="I99" s="6" t="n">
        <v>305.39</v>
      </c>
      <c r="J99" s="6" t="n">
        <v>350</v>
      </c>
      <c r="K99" s="6" t="n">
        <v>1.15</v>
      </c>
    </row>
    <row r="100" customFormat="false" ht="15" hidden="false" customHeight="false" outlineLevel="0" collapsed="false">
      <c r="A100" s="7" t="n">
        <v>45475</v>
      </c>
      <c r="B100" s="6" t="n">
        <v>76011</v>
      </c>
      <c r="C100" s="6" t="s">
        <v>18</v>
      </c>
      <c r="D100" s="6" t="s">
        <v>9</v>
      </c>
      <c r="E100" s="6" t="n">
        <v>77013</v>
      </c>
      <c r="F100" s="6" t="s">
        <v>113</v>
      </c>
      <c r="G100" s="6" t="s">
        <v>9</v>
      </c>
      <c r="H100" s="6" t="s">
        <v>110</v>
      </c>
      <c r="I100" s="6" t="n">
        <v>257.68</v>
      </c>
      <c r="J100" s="6" t="n">
        <v>200</v>
      </c>
      <c r="K100" s="6" t="n">
        <v>0.78</v>
      </c>
    </row>
    <row r="101" customFormat="false" ht="15" hidden="false" customHeight="false" outlineLevel="0" collapsed="false">
      <c r="A101" s="7" t="n">
        <v>45405</v>
      </c>
      <c r="B101" s="6" t="n">
        <v>76011</v>
      </c>
      <c r="C101" s="6" t="s">
        <v>18</v>
      </c>
      <c r="D101" s="6" t="s">
        <v>9</v>
      </c>
      <c r="E101" s="6" t="n">
        <v>77013</v>
      </c>
      <c r="F101" s="6" t="s">
        <v>113</v>
      </c>
      <c r="G101" s="6" t="s">
        <v>9</v>
      </c>
      <c r="H101" s="6" t="s">
        <v>110</v>
      </c>
      <c r="I101" s="6" t="n">
        <v>257.68</v>
      </c>
      <c r="J101" s="6" t="n">
        <v>225</v>
      </c>
      <c r="K101" s="6" t="n">
        <v>0.87</v>
      </c>
    </row>
    <row r="102" customFormat="false" ht="15" hidden="false" customHeight="false" outlineLevel="0" collapsed="false">
      <c r="A102" s="7" t="n">
        <v>45442</v>
      </c>
      <c r="B102" s="6" t="n">
        <v>76011</v>
      </c>
      <c r="C102" s="6" t="s">
        <v>18</v>
      </c>
      <c r="D102" s="6" t="s">
        <v>9</v>
      </c>
      <c r="E102" s="6" t="n">
        <v>77013</v>
      </c>
      <c r="F102" s="6" t="s">
        <v>113</v>
      </c>
      <c r="G102" s="6" t="s">
        <v>9</v>
      </c>
      <c r="H102" s="6" t="s">
        <v>110</v>
      </c>
      <c r="I102" s="6" t="n">
        <v>257.68</v>
      </c>
      <c r="J102" s="6" t="n">
        <v>240</v>
      </c>
      <c r="K102" s="6" t="n">
        <v>0.93</v>
      </c>
    </row>
    <row r="103" customFormat="false" ht="15" hidden="false" customHeight="false" outlineLevel="0" collapsed="false">
      <c r="A103" s="7" t="n">
        <v>45338</v>
      </c>
      <c r="B103" s="6" t="n">
        <v>76011</v>
      </c>
      <c r="C103" s="6" t="s">
        <v>18</v>
      </c>
      <c r="D103" s="6" t="s">
        <v>9</v>
      </c>
      <c r="E103" s="6" t="n">
        <v>77013</v>
      </c>
      <c r="F103" s="6" t="s">
        <v>113</v>
      </c>
      <c r="G103" s="6" t="s">
        <v>9</v>
      </c>
      <c r="H103" s="6" t="s">
        <v>110</v>
      </c>
      <c r="I103" s="6" t="n">
        <v>257.68</v>
      </c>
      <c r="J103" s="6" t="n">
        <v>245</v>
      </c>
      <c r="K103" s="6" t="n">
        <v>0.95</v>
      </c>
    </row>
    <row r="104" customFormat="false" ht="15" hidden="false" customHeight="false" outlineLevel="0" collapsed="false">
      <c r="A104" s="7" t="n">
        <v>45275</v>
      </c>
      <c r="B104" s="6" t="n">
        <v>76011</v>
      </c>
      <c r="C104" s="6" t="s">
        <v>18</v>
      </c>
      <c r="D104" s="6" t="s">
        <v>9</v>
      </c>
      <c r="E104" s="6" t="n">
        <v>77013</v>
      </c>
      <c r="F104" s="6" t="s">
        <v>113</v>
      </c>
      <c r="G104" s="6" t="s">
        <v>9</v>
      </c>
      <c r="H104" s="6" t="s">
        <v>110</v>
      </c>
      <c r="I104" s="6" t="n">
        <v>262.7</v>
      </c>
      <c r="J104" s="6" t="n">
        <v>250</v>
      </c>
      <c r="K104" s="6" t="n">
        <v>0.95</v>
      </c>
    </row>
    <row r="105" customFormat="false" ht="15" hidden="false" customHeight="false" outlineLevel="0" collapsed="false">
      <c r="A105" s="7" t="n">
        <v>45593</v>
      </c>
      <c r="B105" s="6" t="n">
        <v>76011</v>
      </c>
      <c r="C105" s="6" t="s">
        <v>18</v>
      </c>
      <c r="D105" s="6" t="s">
        <v>9</v>
      </c>
      <c r="E105" s="6" t="n">
        <v>77044</v>
      </c>
      <c r="F105" s="6" t="s">
        <v>113</v>
      </c>
      <c r="G105" s="6" t="s">
        <v>9</v>
      </c>
      <c r="H105" s="6" t="s">
        <v>111</v>
      </c>
      <c r="I105" s="6" t="n">
        <v>255.77</v>
      </c>
      <c r="J105" s="6" t="n">
        <v>300</v>
      </c>
      <c r="K105" s="6" t="n">
        <v>1.17</v>
      </c>
    </row>
    <row r="106" customFormat="false" ht="15" hidden="false" customHeight="false" outlineLevel="0" collapsed="false">
      <c r="A106" s="7" t="n">
        <v>45330</v>
      </c>
      <c r="B106" s="6" t="n">
        <v>75236</v>
      </c>
      <c r="C106" s="6" t="s">
        <v>114</v>
      </c>
      <c r="D106" s="6" t="s">
        <v>9</v>
      </c>
      <c r="E106" s="6" t="n">
        <v>77013</v>
      </c>
      <c r="F106" s="6" t="s">
        <v>113</v>
      </c>
      <c r="G106" s="6" t="s">
        <v>9</v>
      </c>
      <c r="H106" s="6" t="s">
        <v>110</v>
      </c>
      <c r="I106" s="6" t="n">
        <v>250.4</v>
      </c>
      <c r="J106" s="6" t="n">
        <v>235</v>
      </c>
      <c r="K106" s="6" t="n">
        <v>0.94</v>
      </c>
    </row>
    <row r="107" customFormat="false" ht="15" hidden="false" customHeight="false" outlineLevel="0" collapsed="false">
      <c r="A107" s="7" t="n">
        <v>45478</v>
      </c>
      <c r="B107" s="6" t="n">
        <v>77550</v>
      </c>
      <c r="C107" s="6" t="s">
        <v>10</v>
      </c>
      <c r="D107" s="6" t="s">
        <v>9</v>
      </c>
      <c r="E107" s="6" t="n">
        <v>79424</v>
      </c>
      <c r="F107" s="6" t="s">
        <v>115</v>
      </c>
      <c r="G107" s="6" t="s">
        <v>9</v>
      </c>
      <c r="H107" s="6" t="s">
        <v>111</v>
      </c>
      <c r="I107" s="6" t="n">
        <v>632.93</v>
      </c>
      <c r="J107" s="6" t="n">
        <v>900</v>
      </c>
      <c r="K107" s="6" t="n">
        <v>1.42</v>
      </c>
    </row>
    <row r="108" customFormat="false" ht="15" hidden="false" customHeight="false" outlineLevel="0" collapsed="false">
      <c r="A108" s="7" t="n">
        <v>45623</v>
      </c>
      <c r="B108" s="6" t="n">
        <v>77550</v>
      </c>
      <c r="C108" s="6" t="s">
        <v>10</v>
      </c>
      <c r="D108" s="6" t="s">
        <v>9</v>
      </c>
      <c r="E108" s="6" t="n">
        <v>76901</v>
      </c>
      <c r="F108" s="6" t="s">
        <v>116</v>
      </c>
      <c r="G108" s="6" t="s">
        <v>9</v>
      </c>
      <c r="H108" s="6" t="s">
        <v>112</v>
      </c>
      <c r="I108" s="6" t="n">
        <v>428.83</v>
      </c>
      <c r="J108" s="6" t="n">
        <v>845</v>
      </c>
      <c r="K108" s="6" t="n">
        <v>1.97</v>
      </c>
    </row>
    <row r="109" customFormat="false" ht="15" hidden="false" customHeight="false" outlineLevel="0" collapsed="false">
      <c r="A109" s="7" t="n">
        <v>45679</v>
      </c>
      <c r="B109" s="6" t="n">
        <v>77550</v>
      </c>
      <c r="C109" s="6" t="s">
        <v>10</v>
      </c>
      <c r="D109" s="6" t="s">
        <v>9</v>
      </c>
      <c r="E109" s="6" t="n">
        <v>76905</v>
      </c>
      <c r="F109" s="6" t="s">
        <v>116</v>
      </c>
      <c r="G109" s="6" t="s">
        <v>9</v>
      </c>
      <c r="H109" s="6" t="s">
        <v>117</v>
      </c>
      <c r="I109" s="6" t="n">
        <v>410.87</v>
      </c>
      <c r="J109" s="6" t="n">
        <v>720</v>
      </c>
      <c r="K109" s="6" t="n">
        <v>1.75</v>
      </c>
    </row>
    <row r="110" customFormat="false" ht="15" hidden="false" customHeight="false" outlineLevel="0" collapsed="false">
      <c r="A110" s="8" t="n">
        <v>45288</v>
      </c>
      <c r="B110" s="1" t="n">
        <v>92019</v>
      </c>
      <c r="C110" s="2" t="s">
        <v>118</v>
      </c>
      <c r="D110" s="2" t="s">
        <v>15</v>
      </c>
      <c r="E110" s="1" t="n">
        <v>85613</v>
      </c>
      <c r="F110" s="2" t="s">
        <v>119</v>
      </c>
      <c r="G110" s="2" t="s">
        <v>17</v>
      </c>
      <c r="H110" s="2" t="s">
        <v>110</v>
      </c>
      <c r="I110" s="1" t="n">
        <v>515.32</v>
      </c>
      <c r="J110" s="1" t="n">
        <v>550</v>
      </c>
      <c r="K110" s="1" t="n">
        <v>1.07</v>
      </c>
    </row>
    <row r="111" customFormat="false" ht="15" hidden="false" customHeight="false" outlineLevel="0" collapsed="false">
      <c r="A111" s="8" t="n">
        <v>45575</v>
      </c>
      <c r="B111" s="1" t="n">
        <v>92020</v>
      </c>
      <c r="C111" s="2" t="s">
        <v>118</v>
      </c>
      <c r="D111" s="2" t="s">
        <v>15</v>
      </c>
      <c r="E111" s="1" t="n">
        <v>85295</v>
      </c>
      <c r="F111" s="2" t="s">
        <v>120</v>
      </c>
      <c r="G111" s="2" t="s">
        <v>17</v>
      </c>
      <c r="H111" s="2" t="s">
        <v>111</v>
      </c>
      <c r="I111" s="1" t="n">
        <v>364.27</v>
      </c>
      <c r="J111" s="1" t="n">
        <v>500</v>
      </c>
      <c r="K111" s="1" t="n">
        <v>1.37</v>
      </c>
    </row>
    <row r="112" customFormat="false" ht="15" hidden="false" customHeight="false" outlineLevel="0" collapsed="false">
      <c r="A112" s="8" t="n">
        <v>45531</v>
      </c>
      <c r="B112" s="1" t="n">
        <v>92020</v>
      </c>
      <c r="C112" s="2" t="s">
        <v>118</v>
      </c>
      <c r="D112" s="2" t="s">
        <v>15</v>
      </c>
      <c r="E112" s="1" t="n">
        <v>85340</v>
      </c>
      <c r="F112" s="2" t="s">
        <v>121</v>
      </c>
      <c r="G112" s="2" t="s">
        <v>17</v>
      </c>
      <c r="H112" s="2" t="s">
        <v>117</v>
      </c>
      <c r="I112" s="1" t="n">
        <v>327.06</v>
      </c>
      <c r="J112" s="1" t="n">
        <v>900</v>
      </c>
      <c r="K112" s="1" t="n">
        <v>1.38</v>
      </c>
    </row>
    <row r="113" customFormat="false" ht="15" hidden="false" customHeight="false" outlineLevel="0" collapsed="false">
      <c r="A113" s="8" t="n">
        <v>45384</v>
      </c>
      <c r="B113" s="1" t="n">
        <v>92020</v>
      </c>
      <c r="C113" s="2" t="s">
        <v>118</v>
      </c>
      <c r="D113" s="2" t="s">
        <v>15</v>
      </c>
      <c r="E113" s="1" t="n">
        <v>85635</v>
      </c>
      <c r="F113" s="2" t="s">
        <v>122</v>
      </c>
      <c r="G113" s="2" t="s">
        <v>17</v>
      </c>
      <c r="H113" s="2" t="s">
        <v>111</v>
      </c>
      <c r="I113" s="1" t="n">
        <v>516</v>
      </c>
      <c r="J113" s="1" t="n">
        <v>625</v>
      </c>
      <c r="K113" s="1" t="n">
        <v>1.21</v>
      </c>
    </row>
    <row r="114" customFormat="false" ht="15" hidden="false" customHeight="false" outlineLevel="0" collapsed="false">
      <c r="A114" s="8" t="n">
        <v>45272</v>
      </c>
      <c r="B114" s="1" t="n">
        <v>92020</v>
      </c>
      <c r="C114" s="2" t="s">
        <v>118</v>
      </c>
      <c r="D114" s="2" t="s">
        <v>15</v>
      </c>
      <c r="E114" s="1" t="n">
        <v>85747</v>
      </c>
      <c r="F114" s="2" t="s">
        <v>16</v>
      </c>
      <c r="G114" s="2" t="s">
        <v>17</v>
      </c>
      <c r="H114" s="2" t="s">
        <v>117</v>
      </c>
      <c r="I114" s="1" t="n">
        <v>459.18</v>
      </c>
      <c r="J114" s="1" t="n">
        <v>550</v>
      </c>
      <c r="K114" s="1" t="n">
        <v>1.2</v>
      </c>
    </row>
    <row r="115" customFormat="false" ht="15" hidden="false" customHeight="false" outlineLevel="0" collapsed="false">
      <c r="A115" s="8" t="n">
        <v>45665</v>
      </c>
      <c r="B115" s="1" t="n">
        <v>90802</v>
      </c>
      <c r="C115" s="2" t="s">
        <v>14</v>
      </c>
      <c r="D115" s="2" t="s">
        <v>15</v>
      </c>
      <c r="E115" s="1" t="n">
        <v>85326</v>
      </c>
      <c r="F115" s="2" t="s">
        <v>123</v>
      </c>
      <c r="G115" s="2" t="s">
        <v>17</v>
      </c>
      <c r="H115" s="2" t="s">
        <v>110</v>
      </c>
      <c r="I115" s="1" t="n">
        <v>351.75</v>
      </c>
      <c r="J115" s="1" t="n">
        <v>400</v>
      </c>
      <c r="K115" s="1" t="n">
        <v>1.14</v>
      </c>
    </row>
    <row r="116" customFormat="false" ht="15" hidden="false" customHeight="false" outlineLevel="0" collapsed="false">
      <c r="A116" s="8" t="n">
        <v>45504</v>
      </c>
      <c r="B116" s="1" t="n">
        <v>90802</v>
      </c>
      <c r="C116" s="2" t="s">
        <v>14</v>
      </c>
      <c r="D116" s="2" t="s">
        <v>15</v>
      </c>
      <c r="E116" s="1" t="n">
        <v>85396</v>
      </c>
      <c r="F116" s="2" t="s">
        <v>123</v>
      </c>
      <c r="G116" s="2" t="s">
        <v>17</v>
      </c>
      <c r="H116" s="2" t="s">
        <v>111</v>
      </c>
      <c r="I116" s="1" t="n">
        <v>348.93</v>
      </c>
      <c r="J116" s="1" t="n">
        <v>530</v>
      </c>
      <c r="K116" s="1" t="n">
        <v>1.52</v>
      </c>
    </row>
    <row r="117" customFormat="false" ht="15" hidden="false" customHeight="false" outlineLevel="0" collapsed="false">
      <c r="A117" s="8" t="n">
        <v>45639</v>
      </c>
      <c r="B117" s="1" t="n">
        <v>90804</v>
      </c>
      <c r="C117" s="2" t="s">
        <v>14</v>
      </c>
      <c r="D117" s="2" t="s">
        <v>15</v>
      </c>
      <c r="E117" s="1" t="n">
        <v>85122</v>
      </c>
      <c r="F117" s="2" t="s">
        <v>124</v>
      </c>
      <c r="G117" s="2" t="s">
        <v>17</v>
      </c>
      <c r="H117" s="2" t="s">
        <v>125</v>
      </c>
      <c r="I117" s="1" t="n">
        <v>435.15</v>
      </c>
      <c r="J117" s="1" t="n">
        <v>725</v>
      </c>
      <c r="K117" s="1" t="n">
        <v>1.67</v>
      </c>
    </row>
    <row r="118" customFormat="false" ht="15" hidden="false" customHeight="false" outlineLevel="0" collapsed="false">
      <c r="A118" s="8" t="n">
        <v>45400</v>
      </c>
      <c r="B118" s="1" t="n">
        <v>90802</v>
      </c>
      <c r="C118" s="2" t="s">
        <v>14</v>
      </c>
      <c r="D118" s="2" t="s">
        <v>15</v>
      </c>
      <c r="E118" s="1" t="n">
        <v>85131</v>
      </c>
      <c r="F118" s="2" t="s">
        <v>126</v>
      </c>
      <c r="G118" s="2" t="s">
        <v>17</v>
      </c>
      <c r="H118" s="2" t="s">
        <v>110</v>
      </c>
      <c r="I118" s="1" t="n">
        <v>438.7</v>
      </c>
      <c r="J118" s="1" t="n">
        <v>500</v>
      </c>
      <c r="K118" s="1" t="n">
        <v>1.14</v>
      </c>
    </row>
    <row r="119" customFormat="false" ht="15" hidden="false" customHeight="false" outlineLevel="0" collapsed="false">
      <c r="A119" s="8" t="n">
        <v>45553</v>
      </c>
      <c r="B119" s="1" t="n">
        <v>90802</v>
      </c>
      <c r="C119" s="2" t="s">
        <v>14</v>
      </c>
      <c r="D119" s="2" t="s">
        <v>15</v>
      </c>
      <c r="E119" s="1" t="n">
        <v>85613</v>
      </c>
      <c r="F119" s="2" t="s">
        <v>119</v>
      </c>
      <c r="G119" s="2" t="s">
        <v>17</v>
      </c>
      <c r="H119" s="2" t="s">
        <v>111</v>
      </c>
      <c r="I119" s="1" t="n">
        <v>570.37</v>
      </c>
      <c r="J119" s="1" t="n">
        <v>575</v>
      </c>
      <c r="K119" s="1" t="n">
        <v>1.01</v>
      </c>
    </row>
    <row r="120" customFormat="false" ht="15" hidden="false" customHeight="false" outlineLevel="0" collapsed="false">
      <c r="A120" s="8" t="n">
        <v>45544</v>
      </c>
      <c r="B120" s="1" t="n">
        <v>90801</v>
      </c>
      <c r="C120" s="2" t="s">
        <v>14</v>
      </c>
      <c r="D120" s="2" t="s">
        <v>15</v>
      </c>
      <c r="E120" s="1" t="n">
        <v>85234</v>
      </c>
      <c r="F120" s="2" t="s">
        <v>120</v>
      </c>
      <c r="G120" s="2" t="s">
        <v>17</v>
      </c>
      <c r="H120" s="2" t="s">
        <v>111</v>
      </c>
      <c r="I120" s="1" t="n">
        <v>410.4</v>
      </c>
      <c r="J120" s="1" t="n">
        <v>450</v>
      </c>
      <c r="K120" s="1" t="n">
        <v>1.1</v>
      </c>
    </row>
    <row r="121" customFormat="false" ht="15" hidden="false" customHeight="false" outlineLevel="0" collapsed="false">
      <c r="A121" s="8" t="n">
        <v>45610</v>
      </c>
      <c r="B121" s="1" t="n">
        <v>90802</v>
      </c>
      <c r="C121" s="2" t="s">
        <v>14</v>
      </c>
      <c r="D121" s="2" t="s">
        <v>15</v>
      </c>
      <c r="E121" s="1" t="n">
        <v>85297</v>
      </c>
      <c r="F121" s="2" t="s">
        <v>120</v>
      </c>
      <c r="G121" s="2" t="s">
        <v>17</v>
      </c>
      <c r="H121" s="2" t="s">
        <v>110</v>
      </c>
      <c r="I121" s="1" t="n">
        <v>415.71</v>
      </c>
      <c r="J121" s="1" t="n">
        <v>300</v>
      </c>
      <c r="K121" s="1" t="n">
        <v>0.72</v>
      </c>
    </row>
    <row r="122" customFormat="false" ht="15" hidden="false" customHeight="false" outlineLevel="0" collapsed="false">
      <c r="A122" s="8" t="n">
        <v>45224</v>
      </c>
      <c r="B122" s="1" t="n">
        <v>90802</v>
      </c>
      <c r="C122" s="2" t="s">
        <v>14</v>
      </c>
      <c r="D122" s="2" t="s">
        <v>15</v>
      </c>
      <c r="E122" s="1" t="n">
        <v>85395</v>
      </c>
      <c r="F122" s="2" t="s">
        <v>127</v>
      </c>
      <c r="G122" s="2" t="s">
        <v>17</v>
      </c>
      <c r="H122" s="2" t="s">
        <v>111</v>
      </c>
      <c r="I122" s="1" t="n">
        <v>362.42</v>
      </c>
      <c r="J122" s="1" t="n">
        <v>450</v>
      </c>
      <c r="K122" s="1" t="n">
        <v>1.24</v>
      </c>
    </row>
    <row r="123" customFormat="false" ht="15" hidden="false" customHeight="false" outlineLevel="0" collapsed="false">
      <c r="A123" s="8" t="n">
        <v>45455</v>
      </c>
      <c r="B123" s="1" t="n">
        <v>90802</v>
      </c>
      <c r="C123" s="2" t="s">
        <v>14</v>
      </c>
      <c r="D123" s="2" t="s">
        <v>15</v>
      </c>
      <c r="E123" s="1" t="n">
        <v>85339</v>
      </c>
      <c r="F123" s="2" t="s">
        <v>128</v>
      </c>
      <c r="G123" s="2" t="s">
        <v>17</v>
      </c>
      <c r="H123" s="2" t="s">
        <v>117</v>
      </c>
      <c r="I123" s="1" t="n">
        <v>383.16</v>
      </c>
      <c r="J123" s="1" t="n">
        <v>450</v>
      </c>
      <c r="K123" s="1" t="n">
        <v>1.17</v>
      </c>
    </row>
    <row r="124" customFormat="false" ht="15" hidden="false" customHeight="false" outlineLevel="0" collapsed="false">
      <c r="A124" s="8" t="n">
        <v>45492</v>
      </c>
      <c r="B124" s="1" t="n">
        <v>90802</v>
      </c>
      <c r="C124" s="2" t="s">
        <v>14</v>
      </c>
      <c r="D124" s="2" t="s">
        <v>15</v>
      </c>
      <c r="E124" s="1" t="n">
        <v>85210</v>
      </c>
      <c r="F124" s="2" t="s">
        <v>129</v>
      </c>
      <c r="G124" s="2" t="s">
        <v>17</v>
      </c>
      <c r="H124" s="2" t="s">
        <v>111</v>
      </c>
      <c r="I124" s="1" t="n">
        <v>400.58</v>
      </c>
      <c r="J124" s="1" t="n">
        <v>450</v>
      </c>
      <c r="K124" s="1" t="n">
        <v>1.12</v>
      </c>
    </row>
    <row r="125" customFormat="false" ht="15" hidden="false" customHeight="false" outlineLevel="0" collapsed="false">
      <c r="A125" s="8" t="n">
        <v>45544</v>
      </c>
      <c r="B125" s="1" t="n">
        <v>90802</v>
      </c>
      <c r="C125" s="2" t="s">
        <v>14</v>
      </c>
      <c r="D125" s="2" t="s">
        <v>15</v>
      </c>
      <c r="E125" s="1" t="n">
        <v>85210</v>
      </c>
      <c r="F125" s="2" t="s">
        <v>129</v>
      </c>
      <c r="G125" s="2" t="s">
        <v>17</v>
      </c>
      <c r="H125" s="2" t="s">
        <v>110</v>
      </c>
      <c r="I125" s="1" t="n">
        <v>401.88</v>
      </c>
      <c r="J125" s="1" t="n">
        <v>600</v>
      </c>
      <c r="K125" s="1" t="n">
        <v>1.49</v>
      </c>
    </row>
    <row r="126" customFormat="false" ht="15" hidden="false" customHeight="false" outlineLevel="0" collapsed="false">
      <c r="A126" s="8" t="n">
        <v>45436</v>
      </c>
      <c r="B126" s="1" t="n">
        <v>90802</v>
      </c>
      <c r="C126" s="2" t="s">
        <v>14</v>
      </c>
      <c r="D126" s="2" t="s">
        <v>15</v>
      </c>
      <c r="E126" s="1" t="n">
        <v>85541</v>
      </c>
      <c r="F126" s="2" t="s">
        <v>130</v>
      </c>
      <c r="G126" s="2" t="s">
        <v>17</v>
      </c>
      <c r="H126" s="2" t="s">
        <v>111</v>
      </c>
      <c r="I126" s="1" t="n">
        <v>476.29</v>
      </c>
      <c r="J126" s="1" t="n">
        <v>550</v>
      </c>
      <c r="K126" s="1" t="n">
        <v>1.15</v>
      </c>
    </row>
    <row r="127" customFormat="false" ht="15" hidden="false" customHeight="false" outlineLevel="0" collapsed="false">
      <c r="A127" s="8" t="n">
        <v>45299</v>
      </c>
      <c r="B127" s="1" t="n">
        <v>90802</v>
      </c>
      <c r="C127" s="2" t="s">
        <v>14</v>
      </c>
      <c r="D127" s="2" t="s">
        <v>15</v>
      </c>
      <c r="E127" s="1" t="n">
        <v>85381</v>
      </c>
      <c r="F127" s="2" t="s">
        <v>131</v>
      </c>
      <c r="G127" s="2" t="s">
        <v>17</v>
      </c>
      <c r="H127" s="2" t="s">
        <v>111</v>
      </c>
      <c r="I127" s="1" t="n">
        <v>383.92</v>
      </c>
      <c r="J127" s="1" t="n">
        <v>550</v>
      </c>
      <c r="K127" s="1" t="n">
        <v>1.43</v>
      </c>
    </row>
    <row r="128" customFormat="false" ht="15" hidden="false" customHeight="false" outlineLevel="0" collapsed="false">
      <c r="A128" s="8" t="n">
        <v>45593</v>
      </c>
      <c r="B128" s="1" t="n">
        <v>90802</v>
      </c>
      <c r="C128" s="2" t="s">
        <v>14</v>
      </c>
      <c r="D128" s="2" t="s">
        <v>15</v>
      </c>
      <c r="E128" s="1" t="n">
        <v>85382</v>
      </c>
      <c r="F128" s="2" t="s">
        <v>131</v>
      </c>
      <c r="G128" s="2" t="s">
        <v>17</v>
      </c>
      <c r="H128" s="2" t="s">
        <v>110</v>
      </c>
      <c r="I128" s="1" t="n">
        <v>386.45</v>
      </c>
      <c r="J128" s="1" t="n">
        <v>350</v>
      </c>
      <c r="K128" s="1" t="n">
        <v>0.91</v>
      </c>
    </row>
    <row r="129" customFormat="false" ht="15" hidden="false" customHeight="false" outlineLevel="0" collapsed="false">
      <c r="A129" s="8" t="n">
        <v>45436</v>
      </c>
      <c r="B129" s="1" t="n">
        <v>90802</v>
      </c>
      <c r="C129" s="2" t="s">
        <v>14</v>
      </c>
      <c r="D129" s="2" t="s">
        <v>15</v>
      </c>
      <c r="E129" s="1" t="n">
        <v>85022</v>
      </c>
      <c r="F129" s="2" t="s">
        <v>132</v>
      </c>
      <c r="G129" s="2" t="s">
        <v>17</v>
      </c>
      <c r="H129" s="2" t="s">
        <v>111</v>
      </c>
      <c r="I129" s="1" t="n">
        <v>399.36</v>
      </c>
      <c r="J129" s="1" t="n">
        <v>350</v>
      </c>
      <c r="K129" s="1" t="n">
        <v>0.88</v>
      </c>
    </row>
    <row r="130" customFormat="false" ht="15" hidden="false" customHeight="false" outlineLevel="0" collapsed="false">
      <c r="A130" s="8" t="n">
        <v>45675</v>
      </c>
      <c r="B130" s="1" t="n">
        <v>90802</v>
      </c>
      <c r="C130" s="2" t="s">
        <v>14</v>
      </c>
      <c r="D130" s="2" t="s">
        <v>15</v>
      </c>
      <c r="E130" s="1" t="n">
        <v>86314</v>
      </c>
      <c r="F130" s="2" t="s">
        <v>133</v>
      </c>
      <c r="G130" s="2" t="s">
        <v>17</v>
      </c>
      <c r="H130" s="2" t="s">
        <v>111</v>
      </c>
      <c r="I130" s="1" t="n">
        <v>456.44</v>
      </c>
      <c r="J130" s="1" t="n">
        <v>530</v>
      </c>
      <c r="K130" s="1" t="n">
        <v>1.16</v>
      </c>
    </row>
    <row r="131" customFormat="false" ht="15" hidden="false" customHeight="false" outlineLevel="0" collapsed="false">
      <c r="A131" s="8" t="n">
        <v>45820</v>
      </c>
      <c r="B131" s="1" t="n">
        <v>90802</v>
      </c>
      <c r="C131" s="2" t="s">
        <v>14</v>
      </c>
      <c r="D131" s="2" t="s">
        <v>15</v>
      </c>
      <c r="E131" s="1" t="n">
        <v>85142</v>
      </c>
      <c r="F131" s="2" t="s">
        <v>134</v>
      </c>
      <c r="G131" s="2" t="s">
        <v>17</v>
      </c>
      <c r="H131" s="2" t="s">
        <v>117</v>
      </c>
      <c r="I131" s="1" t="n">
        <v>417.77</v>
      </c>
      <c r="J131" s="1" t="n">
        <v>575</v>
      </c>
      <c r="K131" s="1" t="n">
        <v>1.38</v>
      </c>
    </row>
    <row r="132" customFormat="false" ht="15" hidden="false" customHeight="false" outlineLevel="0" collapsed="false">
      <c r="A132" s="8" t="n">
        <v>45278</v>
      </c>
      <c r="B132" s="1" t="n">
        <v>90802</v>
      </c>
      <c r="C132" s="2" t="s">
        <v>14</v>
      </c>
      <c r="D132" s="2" t="s">
        <v>15</v>
      </c>
      <c r="E132" s="1" t="n">
        <v>85255</v>
      </c>
      <c r="F132" s="2" t="s">
        <v>135</v>
      </c>
      <c r="G132" s="2" t="s">
        <v>17</v>
      </c>
      <c r="H132" s="2" t="s">
        <v>125</v>
      </c>
      <c r="I132" s="1" t="n">
        <v>408.03</v>
      </c>
      <c r="J132" s="1" t="n">
        <v>400</v>
      </c>
      <c r="K132" s="1" t="n">
        <v>0.98</v>
      </c>
    </row>
    <row r="133" customFormat="false" ht="15" hidden="false" customHeight="false" outlineLevel="0" collapsed="false">
      <c r="A133" s="8" t="n">
        <v>45539</v>
      </c>
      <c r="B133" s="1" t="n">
        <v>90802</v>
      </c>
      <c r="C133" s="2" t="s">
        <v>14</v>
      </c>
      <c r="D133" s="2" t="s">
        <v>15</v>
      </c>
      <c r="E133" s="1" t="n">
        <v>85635</v>
      </c>
      <c r="F133" s="2" t="s">
        <v>122</v>
      </c>
      <c r="G133" s="2" t="s">
        <v>17</v>
      </c>
      <c r="H133" s="2" t="s">
        <v>110</v>
      </c>
      <c r="I133" s="1" t="n">
        <v>586.64</v>
      </c>
      <c r="J133" s="1" t="n">
        <v>815</v>
      </c>
      <c r="K133" s="1" t="n">
        <v>1.39</v>
      </c>
    </row>
    <row r="134" customFormat="false" ht="15" hidden="false" customHeight="false" outlineLevel="0" collapsed="false">
      <c r="A134" s="8" t="n">
        <v>45768</v>
      </c>
      <c r="B134" s="1" t="n">
        <v>90802</v>
      </c>
      <c r="C134" s="2" t="s">
        <v>14</v>
      </c>
      <c r="D134" s="2" t="s">
        <v>15</v>
      </c>
      <c r="E134" s="1" t="n">
        <v>85379</v>
      </c>
      <c r="F134" s="2" t="s">
        <v>136</v>
      </c>
      <c r="G134" s="2" t="s">
        <v>17</v>
      </c>
      <c r="H134" s="2" t="s">
        <v>117</v>
      </c>
      <c r="I134" s="1" t="n">
        <v>365.41</v>
      </c>
      <c r="J134" s="1" t="n">
        <v>400</v>
      </c>
      <c r="K134" s="1" t="n">
        <v>1.09</v>
      </c>
    </row>
    <row r="135" customFormat="false" ht="15" hidden="false" customHeight="false" outlineLevel="0" collapsed="false">
      <c r="A135" s="8" t="n">
        <v>45357</v>
      </c>
      <c r="B135" s="1" t="n">
        <v>90802</v>
      </c>
      <c r="C135" s="2" t="s">
        <v>137</v>
      </c>
      <c r="D135" s="2" t="s">
        <v>15</v>
      </c>
      <c r="E135" s="1" t="n">
        <v>85281</v>
      </c>
      <c r="F135" s="2" t="s">
        <v>138</v>
      </c>
      <c r="G135" s="2" t="s">
        <v>17</v>
      </c>
      <c r="H135" s="2" t="s">
        <v>117</v>
      </c>
      <c r="I135" s="1" t="n">
        <v>389.12</v>
      </c>
      <c r="J135" s="1" t="n">
        <v>350</v>
      </c>
      <c r="K135" s="1" t="n">
        <v>0.9</v>
      </c>
    </row>
    <row r="136" customFormat="false" ht="15" hidden="false" customHeight="false" outlineLevel="0" collapsed="false">
      <c r="A136" s="8" t="n">
        <v>45819</v>
      </c>
      <c r="B136" s="1" t="n">
        <v>90802</v>
      </c>
      <c r="C136" s="2" t="s">
        <v>14</v>
      </c>
      <c r="D136" s="2" t="s">
        <v>15</v>
      </c>
      <c r="E136" s="1" t="n">
        <v>85730</v>
      </c>
      <c r="F136" s="2" t="s">
        <v>16</v>
      </c>
      <c r="G136" s="2" t="s">
        <v>17</v>
      </c>
      <c r="H136" s="2" t="s">
        <v>110</v>
      </c>
      <c r="I136" s="1" t="n">
        <v>500.06</v>
      </c>
      <c r="J136" s="1" t="n">
        <v>625</v>
      </c>
      <c r="K136" s="1" t="n">
        <v>1.25</v>
      </c>
    </row>
    <row r="137" customFormat="false" ht="15" hidden="false" customHeight="false" outlineLevel="0" collapsed="false">
      <c r="A137" s="8" t="n">
        <v>45609</v>
      </c>
      <c r="B137" s="1" t="n">
        <v>90802</v>
      </c>
      <c r="C137" s="2" t="s">
        <v>14</v>
      </c>
      <c r="D137" s="2" t="s">
        <v>15</v>
      </c>
      <c r="E137" s="1" t="n">
        <v>85747</v>
      </c>
      <c r="F137" s="2" t="s">
        <v>16</v>
      </c>
      <c r="G137" s="2" t="s">
        <v>17</v>
      </c>
      <c r="H137" s="2" t="s">
        <v>110</v>
      </c>
      <c r="I137" s="1" t="n">
        <v>528.33</v>
      </c>
      <c r="J137" s="1" t="n">
        <v>450</v>
      </c>
      <c r="K137" s="1" t="n">
        <v>0.85</v>
      </c>
    </row>
    <row r="138" customFormat="false" ht="15" hidden="false" customHeight="false" outlineLevel="0" collapsed="false">
      <c r="A138" s="8" t="n">
        <v>45513</v>
      </c>
      <c r="B138" s="1" t="n">
        <v>90802</v>
      </c>
      <c r="C138" s="2" t="s">
        <v>14</v>
      </c>
      <c r="D138" s="2" t="s">
        <v>15</v>
      </c>
      <c r="E138" s="1" t="n">
        <v>85749</v>
      </c>
      <c r="F138" s="2" t="s">
        <v>16</v>
      </c>
      <c r="G138" s="2" t="s">
        <v>17</v>
      </c>
      <c r="H138" s="2" t="s">
        <v>111</v>
      </c>
      <c r="I138" s="1" t="n">
        <v>524.92</v>
      </c>
      <c r="J138" s="1" t="n">
        <v>600</v>
      </c>
      <c r="K138" s="1" t="n">
        <v>1.14</v>
      </c>
    </row>
    <row r="139" customFormat="false" ht="15" hidden="false" customHeight="false" outlineLevel="0" collapsed="false">
      <c r="A139" s="8" t="n">
        <v>45665</v>
      </c>
      <c r="B139" s="1" t="n">
        <v>90802</v>
      </c>
      <c r="C139" s="2" t="s">
        <v>14</v>
      </c>
      <c r="D139" s="2" t="s">
        <v>15</v>
      </c>
      <c r="E139" s="1" t="n">
        <v>85750</v>
      </c>
      <c r="F139" s="2" t="s">
        <v>16</v>
      </c>
      <c r="G139" s="2" t="s">
        <v>17</v>
      </c>
      <c r="H139" s="2" t="s">
        <v>117</v>
      </c>
      <c r="I139" s="1" t="n">
        <v>498.36</v>
      </c>
      <c r="J139" s="1" t="n">
        <v>850</v>
      </c>
      <c r="K139" s="1" t="n">
        <v>1.71</v>
      </c>
    </row>
    <row r="140" customFormat="false" ht="15" hidden="false" customHeight="false" outlineLevel="0" collapsed="false">
      <c r="A140" s="8" t="n">
        <v>45492</v>
      </c>
      <c r="B140" s="1" t="n">
        <v>90802</v>
      </c>
      <c r="C140" s="2" t="s">
        <v>14</v>
      </c>
      <c r="D140" s="2" t="s">
        <v>15</v>
      </c>
      <c r="E140" s="1" t="n">
        <v>85756</v>
      </c>
      <c r="F140" s="2" t="s">
        <v>16</v>
      </c>
      <c r="G140" s="2" t="s">
        <v>17</v>
      </c>
      <c r="H140" s="2" t="s">
        <v>110</v>
      </c>
      <c r="I140" s="1" t="n">
        <v>525.73</v>
      </c>
      <c r="J140" s="1" t="n">
        <v>600</v>
      </c>
      <c r="K140" s="1" t="n">
        <v>1.14</v>
      </c>
    </row>
    <row r="141" customFormat="false" ht="15" hidden="false" customHeight="false" outlineLevel="0" collapsed="false">
      <c r="A141" s="8" t="n">
        <v>45552</v>
      </c>
      <c r="B141" s="1" t="n">
        <v>90802</v>
      </c>
      <c r="C141" s="2" t="s">
        <v>14</v>
      </c>
      <c r="D141" s="2" t="s">
        <v>15</v>
      </c>
      <c r="E141" s="1" t="n">
        <v>85365</v>
      </c>
      <c r="F141" s="2" t="s">
        <v>139</v>
      </c>
      <c r="G141" s="2" t="s">
        <v>17</v>
      </c>
      <c r="H141" s="2" t="s">
        <v>110</v>
      </c>
      <c r="I141" s="1" t="n">
        <v>281.36</v>
      </c>
      <c r="J141" s="1" t="n">
        <v>450</v>
      </c>
      <c r="K141" s="1" t="n">
        <v>1.6</v>
      </c>
    </row>
    <row r="142" customFormat="false" ht="15" hidden="false" customHeight="false" outlineLevel="0" collapsed="false">
      <c r="A142" s="8" t="n">
        <v>45763</v>
      </c>
      <c r="B142" s="1" t="n">
        <v>91950</v>
      </c>
      <c r="C142" s="2" t="s">
        <v>140</v>
      </c>
      <c r="D142" s="2" t="s">
        <v>15</v>
      </c>
      <c r="E142" s="1" t="n">
        <v>85741</v>
      </c>
      <c r="F142" s="2" t="s">
        <v>16</v>
      </c>
      <c r="G142" s="2" t="s">
        <v>17</v>
      </c>
      <c r="H142" s="2" t="s">
        <v>110</v>
      </c>
      <c r="I142" s="1" t="n">
        <v>400.58</v>
      </c>
      <c r="J142" s="1" t="n">
        <v>550</v>
      </c>
      <c r="K142" s="1" t="n">
        <v>1.37</v>
      </c>
    </row>
    <row r="143" customFormat="false" ht="15" hidden="false" customHeight="false" outlineLevel="0" collapsed="false">
      <c r="A143" s="8" t="n">
        <v>45511</v>
      </c>
      <c r="B143" s="1" t="n">
        <v>93041</v>
      </c>
      <c r="C143" s="2" t="s">
        <v>141</v>
      </c>
      <c r="D143" s="2" t="s">
        <v>15</v>
      </c>
      <c r="E143" s="1" t="n">
        <v>85613</v>
      </c>
      <c r="F143" s="2" t="s">
        <v>119</v>
      </c>
      <c r="G143" s="2" t="s">
        <v>17</v>
      </c>
      <c r="H143" s="2" t="s">
        <v>110</v>
      </c>
      <c r="I143" s="1" t="n">
        <v>623.04</v>
      </c>
      <c r="J143" s="1" t="n">
        <v>1100</v>
      </c>
      <c r="K143" s="1" t="n">
        <v>1.77</v>
      </c>
    </row>
    <row r="144" customFormat="false" ht="15" hidden="false" customHeight="false" outlineLevel="0" collapsed="false">
      <c r="A144" s="8" t="n">
        <v>45504</v>
      </c>
      <c r="B144" s="1" t="n">
        <v>90744</v>
      </c>
      <c r="C144" s="2" t="s">
        <v>142</v>
      </c>
      <c r="D144" s="2" t="s">
        <v>15</v>
      </c>
      <c r="E144" s="1" t="n">
        <v>85338</v>
      </c>
      <c r="F144" s="2" t="s">
        <v>127</v>
      </c>
      <c r="G144" s="2" t="s">
        <v>17</v>
      </c>
      <c r="H144" s="2" t="s">
        <v>110</v>
      </c>
      <c r="I144" s="1" t="n">
        <v>364.77</v>
      </c>
      <c r="J144" s="1" t="n">
        <v>545</v>
      </c>
      <c r="K144" s="1" t="n">
        <v>1.49</v>
      </c>
    </row>
    <row r="147" customFormat="false" ht="15" hidden="false" customHeight="false" outlineLevel="0" collapsed="false">
      <c r="A147" s="1" t="s">
        <v>143</v>
      </c>
    </row>
    <row r="148" customFormat="false" ht="15" hidden="false" customHeight="false" outlineLevel="0" collapsed="false">
      <c r="A148" s="6" t="s">
        <v>144</v>
      </c>
      <c r="B148" s="6" t="s">
        <v>145</v>
      </c>
      <c r="C148" s="6" t="s">
        <v>146</v>
      </c>
      <c r="D148" s="6" t="s">
        <v>147</v>
      </c>
      <c r="E148" s="6" t="s">
        <v>148</v>
      </c>
      <c r="F148" s="6" t="s">
        <v>149</v>
      </c>
      <c r="G148" s="6" t="s">
        <v>150</v>
      </c>
      <c r="H148" s="6" t="s">
        <v>107</v>
      </c>
      <c r="I148" s="6" t="s">
        <v>151</v>
      </c>
      <c r="J148" s="6" t="s">
        <v>152</v>
      </c>
    </row>
    <row r="149" customFormat="false" ht="15" hidden="false" customHeight="false" outlineLevel="0" collapsed="false">
      <c r="A149" s="6" t="s">
        <v>10</v>
      </c>
      <c r="B149" s="6" t="n">
        <v>77550</v>
      </c>
      <c r="C149" s="6" t="s">
        <v>9</v>
      </c>
      <c r="D149" s="6" t="s">
        <v>18</v>
      </c>
      <c r="E149" s="6" t="n">
        <v>76001</v>
      </c>
      <c r="F149" s="6" t="s">
        <v>9</v>
      </c>
      <c r="G149" s="6" t="s">
        <v>153</v>
      </c>
      <c r="H149" s="6" t="n">
        <v>312</v>
      </c>
      <c r="I149" s="6" t="n">
        <v>245</v>
      </c>
      <c r="J149" s="6" t="n">
        <v>0.78525641</v>
      </c>
    </row>
    <row r="150" customFormat="false" ht="15" hidden="false" customHeight="false" outlineLevel="0" collapsed="false">
      <c r="A150" s="6" t="s">
        <v>10</v>
      </c>
      <c r="B150" s="6" t="n">
        <v>77550</v>
      </c>
      <c r="C150" s="6" t="s">
        <v>9</v>
      </c>
      <c r="D150" s="6" t="s">
        <v>18</v>
      </c>
      <c r="E150" s="6" t="n">
        <v>76001</v>
      </c>
      <c r="F150" s="6" t="s">
        <v>9</v>
      </c>
      <c r="G150" s="6" t="s">
        <v>153</v>
      </c>
      <c r="H150" s="6" t="n">
        <v>312</v>
      </c>
      <c r="I150" s="6" t="n">
        <v>319</v>
      </c>
      <c r="J150" s="6" t="n">
        <v>1.022435897</v>
      </c>
    </row>
    <row r="151" customFormat="false" ht="15" hidden="false" customHeight="false" outlineLevel="0" collapsed="false">
      <c r="A151" s="6" t="s">
        <v>10</v>
      </c>
      <c r="B151" s="6" t="n">
        <v>77550</v>
      </c>
      <c r="C151" s="6" t="s">
        <v>9</v>
      </c>
      <c r="D151" s="6" t="s">
        <v>18</v>
      </c>
      <c r="E151" s="6" t="n">
        <v>76001</v>
      </c>
      <c r="F151" s="6" t="s">
        <v>9</v>
      </c>
      <c r="G151" s="6" t="s">
        <v>153</v>
      </c>
      <c r="H151" s="6" t="n">
        <v>312</v>
      </c>
      <c r="I151" s="6" t="n">
        <v>336</v>
      </c>
      <c r="J151" s="6" t="n">
        <v>1.076923077</v>
      </c>
    </row>
    <row r="152" customFormat="false" ht="15" hidden="false" customHeight="false" outlineLevel="0" collapsed="false">
      <c r="A152" s="6" t="s">
        <v>10</v>
      </c>
      <c r="B152" s="6" t="n">
        <v>77550</v>
      </c>
      <c r="C152" s="6" t="s">
        <v>9</v>
      </c>
      <c r="D152" s="6" t="s">
        <v>18</v>
      </c>
      <c r="E152" s="6" t="n">
        <v>76001</v>
      </c>
      <c r="F152" s="6" t="s">
        <v>9</v>
      </c>
      <c r="G152" s="6" t="s">
        <v>153</v>
      </c>
      <c r="H152" s="6" t="n">
        <v>312</v>
      </c>
      <c r="I152" s="6" t="n">
        <v>354</v>
      </c>
      <c r="J152" s="6" t="n">
        <v>1.134615385</v>
      </c>
    </row>
    <row r="153" customFormat="false" ht="15" hidden="false" customHeight="false" outlineLevel="0" collapsed="false">
      <c r="A153" s="6" t="s">
        <v>10</v>
      </c>
      <c r="B153" s="6" t="n">
        <v>77550</v>
      </c>
      <c r="C153" s="6" t="s">
        <v>9</v>
      </c>
      <c r="D153" s="6" t="s">
        <v>154</v>
      </c>
      <c r="E153" s="6" t="n">
        <v>73301</v>
      </c>
      <c r="F153" s="6" t="s">
        <v>9</v>
      </c>
      <c r="G153" s="6" t="s">
        <v>153</v>
      </c>
      <c r="H153" s="6" t="n">
        <v>214</v>
      </c>
      <c r="I153" s="6" t="n">
        <v>189</v>
      </c>
      <c r="J153" s="6" t="n">
        <v>0.88317757</v>
      </c>
    </row>
    <row r="154" customFormat="false" ht="15" hidden="false" customHeight="false" outlineLevel="0" collapsed="false">
      <c r="A154" s="6" t="s">
        <v>10</v>
      </c>
      <c r="B154" s="6" t="n">
        <v>77550</v>
      </c>
      <c r="C154" s="6" t="s">
        <v>9</v>
      </c>
      <c r="D154" s="6" t="s">
        <v>154</v>
      </c>
      <c r="E154" s="6" t="n">
        <v>73301</v>
      </c>
      <c r="F154" s="6" t="s">
        <v>9</v>
      </c>
      <c r="G154" s="6" t="s">
        <v>153</v>
      </c>
      <c r="H154" s="6" t="n">
        <v>214</v>
      </c>
      <c r="I154" s="6" t="n">
        <v>245</v>
      </c>
      <c r="J154" s="6" t="n">
        <v>1.144859813</v>
      </c>
    </row>
    <row r="155" customFormat="false" ht="15" hidden="false" customHeight="false" outlineLevel="0" collapsed="false">
      <c r="A155" s="6" t="s">
        <v>10</v>
      </c>
      <c r="B155" s="6" t="n">
        <v>77550</v>
      </c>
      <c r="C155" s="6" t="s">
        <v>9</v>
      </c>
      <c r="D155" s="6" t="s">
        <v>154</v>
      </c>
      <c r="E155" s="6" t="n">
        <v>73301</v>
      </c>
      <c r="F155" s="6" t="s">
        <v>9</v>
      </c>
      <c r="G155" s="6" t="s">
        <v>153</v>
      </c>
      <c r="H155" s="6" t="n">
        <v>214</v>
      </c>
      <c r="I155" s="6" t="n">
        <v>260</v>
      </c>
      <c r="J155" s="6" t="n">
        <v>1.214953271</v>
      </c>
    </row>
    <row r="156" customFormat="false" ht="15" hidden="false" customHeight="false" outlineLevel="0" collapsed="false">
      <c r="A156" s="6" t="s">
        <v>10</v>
      </c>
      <c r="B156" s="6" t="n">
        <v>77550</v>
      </c>
      <c r="C156" s="6" t="s">
        <v>9</v>
      </c>
      <c r="D156" s="6" t="s">
        <v>154</v>
      </c>
      <c r="E156" s="6" t="n">
        <v>73301</v>
      </c>
      <c r="F156" s="6" t="s">
        <v>9</v>
      </c>
      <c r="G156" s="6" t="s">
        <v>153</v>
      </c>
      <c r="H156" s="6" t="n">
        <v>214</v>
      </c>
      <c r="I156" s="6" t="n">
        <v>300</v>
      </c>
      <c r="J156" s="6" t="n">
        <v>1.401869159</v>
      </c>
    </row>
    <row r="157" customFormat="false" ht="15" hidden="false" customHeight="false" outlineLevel="0" collapsed="false">
      <c r="A157" s="6" t="s">
        <v>10</v>
      </c>
      <c r="B157" s="6" t="n">
        <v>77550</v>
      </c>
      <c r="C157" s="6" t="s">
        <v>9</v>
      </c>
      <c r="D157" s="6" t="s">
        <v>155</v>
      </c>
      <c r="E157" s="6" t="n">
        <v>78401</v>
      </c>
      <c r="F157" s="6" t="s">
        <v>9</v>
      </c>
      <c r="G157" s="6" t="s">
        <v>153</v>
      </c>
      <c r="H157" s="6" t="n">
        <v>264</v>
      </c>
      <c r="I157" s="6" t="n">
        <v>289</v>
      </c>
      <c r="J157" s="6" t="n">
        <v>1.09469697</v>
      </c>
    </row>
    <row r="158" customFormat="false" ht="15" hidden="false" customHeight="false" outlineLevel="0" collapsed="false">
      <c r="A158" s="6" t="s">
        <v>10</v>
      </c>
      <c r="B158" s="6" t="n">
        <v>77550</v>
      </c>
      <c r="C158" s="6" t="s">
        <v>9</v>
      </c>
      <c r="D158" s="6" t="s">
        <v>155</v>
      </c>
      <c r="E158" s="6" t="n">
        <v>78401</v>
      </c>
      <c r="F158" s="6" t="s">
        <v>9</v>
      </c>
      <c r="G158" s="6" t="s">
        <v>153</v>
      </c>
      <c r="H158" s="6" t="n">
        <v>264</v>
      </c>
      <c r="I158" s="6" t="n">
        <v>315</v>
      </c>
      <c r="J158" s="6" t="n">
        <v>1.193181818</v>
      </c>
    </row>
    <row r="159" customFormat="false" ht="15" hidden="false" customHeight="false" outlineLevel="0" collapsed="false">
      <c r="A159" s="6" t="s">
        <v>10</v>
      </c>
      <c r="B159" s="6" t="n">
        <v>77550</v>
      </c>
      <c r="C159" s="6" t="s">
        <v>9</v>
      </c>
      <c r="D159" s="6" t="s">
        <v>155</v>
      </c>
      <c r="E159" s="6" t="n">
        <v>78401</v>
      </c>
      <c r="F159" s="6" t="s">
        <v>9</v>
      </c>
      <c r="G159" s="6" t="s">
        <v>153</v>
      </c>
      <c r="H159" s="6" t="n">
        <v>264</v>
      </c>
      <c r="I159" s="6" t="n">
        <v>345</v>
      </c>
      <c r="J159" s="6" t="n">
        <v>1.306818182</v>
      </c>
    </row>
    <row r="160" customFormat="false" ht="15" hidden="false" customHeight="false" outlineLevel="0" collapsed="false">
      <c r="A160" s="6" t="s">
        <v>10</v>
      </c>
      <c r="B160" s="6" t="n">
        <v>77550</v>
      </c>
      <c r="C160" s="6" t="s">
        <v>9</v>
      </c>
      <c r="D160" s="6" t="s">
        <v>155</v>
      </c>
      <c r="E160" s="6" t="n">
        <v>78401</v>
      </c>
      <c r="F160" s="6" t="s">
        <v>9</v>
      </c>
      <c r="G160" s="6" t="s">
        <v>153</v>
      </c>
      <c r="H160" s="6" t="n">
        <v>264</v>
      </c>
      <c r="I160" s="6" t="n">
        <v>355</v>
      </c>
      <c r="J160" s="6" t="n">
        <v>1.34469697</v>
      </c>
    </row>
    <row r="161" customFormat="false" ht="15" hidden="false" customHeight="false" outlineLevel="0" collapsed="false">
      <c r="A161" s="6" t="s">
        <v>10</v>
      </c>
      <c r="B161" s="6" t="n">
        <v>77550</v>
      </c>
      <c r="C161" s="6" t="s">
        <v>9</v>
      </c>
      <c r="D161" s="6" t="s">
        <v>114</v>
      </c>
      <c r="E161" s="6" t="n">
        <v>75201</v>
      </c>
      <c r="F161" s="6" t="s">
        <v>9</v>
      </c>
      <c r="G161" s="6" t="s">
        <v>153</v>
      </c>
      <c r="H161" s="6" t="n">
        <v>290</v>
      </c>
      <c r="I161" s="6" t="n">
        <v>245</v>
      </c>
      <c r="J161" s="6" t="n">
        <v>0.844827586</v>
      </c>
    </row>
    <row r="162" customFormat="false" ht="15" hidden="false" customHeight="false" outlineLevel="0" collapsed="false">
      <c r="A162" s="6" t="s">
        <v>10</v>
      </c>
      <c r="B162" s="6" t="n">
        <v>77550</v>
      </c>
      <c r="C162" s="6" t="s">
        <v>9</v>
      </c>
      <c r="D162" s="6" t="s">
        <v>114</v>
      </c>
      <c r="E162" s="6" t="n">
        <v>75201</v>
      </c>
      <c r="F162" s="6" t="s">
        <v>9</v>
      </c>
      <c r="G162" s="6" t="s">
        <v>153</v>
      </c>
      <c r="H162" s="6" t="n">
        <v>290</v>
      </c>
      <c r="I162" s="6" t="n">
        <v>309</v>
      </c>
      <c r="J162" s="6" t="n">
        <v>1.065517241</v>
      </c>
    </row>
    <row r="163" customFormat="false" ht="15" hidden="false" customHeight="false" outlineLevel="0" collapsed="false">
      <c r="A163" s="6" t="s">
        <v>10</v>
      </c>
      <c r="B163" s="6" t="n">
        <v>77550</v>
      </c>
      <c r="C163" s="6" t="s">
        <v>9</v>
      </c>
      <c r="D163" s="6" t="s">
        <v>114</v>
      </c>
      <c r="E163" s="6" t="n">
        <v>75201</v>
      </c>
      <c r="F163" s="6" t="s">
        <v>9</v>
      </c>
      <c r="G163" s="6" t="s">
        <v>153</v>
      </c>
      <c r="H163" s="6" t="n">
        <v>290</v>
      </c>
      <c r="I163" s="6" t="n">
        <v>330</v>
      </c>
      <c r="J163" s="6" t="n">
        <v>1.137931034</v>
      </c>
    </row>
    <row r="164" customFormat="false" ht="15" hidden="false" customHeight="false" outlineLevel="0" collapsed="false">
      <c r="A164" s="6" t="s">
        <v>10</v>
      </c>
      <c r="B164" s="6" t="n">
        <v>77550</v>
      </c>
      <c r="C164" s="6" t="s">
        <v>9</v>
      </c>
      <c r="D164" s="6" t="s">
        <v>114</v>
      </c>
      <c r="E164" s="6" t="n">
        <v>75201</v>
      </c>
      <c r="F164" s="6" t="s">
        <v>9</v>
      </c>
      <c r="G164" s="6" t="s">
        <v>153</v>
      </c>
      <c r="H164" s="6" t="n">
        <v>290</v>
      </c>
      <c r="I164" s="6" t="n">
        <v>471</v>
      </c>
      <c r="J164" s="6" t="n">
        <v>1.624137931</v>
      </c>
    </row>
    <row r="165" customFormat="false" ht="15" hidden="false" customHeight="false" outlineLevel="0" collapsed="false">
      <c r="A165" s="6" t="s">
        <v>114</v>
      </c>
      <c r="B165" s="6" t="n">
        <v>75217</v>
      </c>
      <c r="C165" s="6" t="s">
        <v>9</v>
      </c>
      <c r="D165" s="6" t="s">
        <v>113</v>
      </c>
      <c r="E165" s="6" t="n">
        <v>77084</v>
      </c>
      <c r="F165" s="6" t="s">
        <v>9</v>
      </c>
      <c r="G165" s="6" t="s">
        <v>153</v>
      </c>
      <c r="H165" s="6" t="n">
        <v>241</v>
      </c>
      <c r="I165" s="6" t="n">
        <v>210</v>
      </c>
      <c r="J165" s="6" t="n">
        <v>0.87137</v>
      </c>
    </row>
    <row r="166" customFormat="false" ht="15" hidden="false" customHeight="false" outlineLevel="0" collapsed="false">
      <c r="A166" s="6" t="s">
        <v>114</v>
      </c>
      <c r="B166" s="6" t="n">
        <v>75217</v>
      </c>
      <c r="C166" s="6" t="s">
        <v>9</v>
      </c>
      <c r="D166" s="6" t="s">
        <v>10</v>
      </c>
      <c r="E166" s="6" t="n">
        <v>77550</v>
      </c>
      <c r="F166" s="6" t="s">
        <v>9</v>
      </c>
      <c r="G166" s="6" t="s">
        <v>153</v>
      </c>
      <c r="H166" s="6" t="n">
        <v>285</v>
      </c>
      <c r="I166" s="6" t="n">
        <v>389</v>
      </c>
      <c r="J166" s="6" t="n">
        <v>1.3649</v>
      </c>
    </row>
    <row r="167" customFormat="false" ht="15" hidden="false" customHeight="false" outlineLevel="0" collapsed="false">
      <c r="A167" s="1" t="s">
        <v>14</v>
      </c>
      <c r="B167" s="1" t="n">
        <v>90801</v>
      </c>
      <c r="C167" s="1" t="s">
        <v>15</v>
      </c>
      <c r="D167" s="1" t="s">
        <v>156</v>
      </c>
      <c r="E167" s="1" t="n">
        <v>86004</v>
      </c>
      <c r="F167" s="1" t="s">
        <v>17</v>
      </c>
      <c r="G167" s="1" t="s">
        <v>153</v>
      </c>
      <c r="H167" s="1" t="n">
        <v>479</v>
      </c>
      <c r="I167" s="1" t="n">
        <v>435</v>
      </c>
      <c r="J167" s="1" t="n">
        <v>0.908141962</v>
      </c>
    </row>
    <row r="168" customFormat="false" ht="15" hidden="false" customHeight="false" outlineLevel="0" collapsed="false">
      <c r="A168" s="1" t="s">
        <v>14</v>
      </c>
      <c r="B168" s="1" t="n">
        <v>90801</v>
      </c>
      <c r="C168" s="1" t="s">
        <v>15</v>
      </c>
      <c r="D168" s="1" t="s">
        <v>156</v>
      </c>
      <c r="E168" s="1" t="n">
        <v>86004</v>
      </c>
      <c r="F168" s="1" t="s">
        <v>17</v>
      </c>
      <c r="G168" s="1" t="s">
        <v>153</v>
      </c>
      <c r="H168" s="1" t="n">
        <v>479</v>
      </c>
      <c r="I168" s="1" t="n">
        <v>495</v>
      </c>
      <c r="J168" s="1" t="n">
        <v>1.033402923</v>
      </c>
    </row>
    <row r="169" customFormat="false" ht="15" hidden="false" customHeight="false" outlineLevel="0" collapsed="false">
      <c r="A169" s="1" t="s">
        <v>14</v>
      </c>
      <c r="B169" s="1" t="n">
        <v>90801</v>
      </c>
      <c r="C169" s="1" t="s">
        <v>15</v>
      </c>
      <c r="D169" s="1" t="s">
        <v>156</v>
      </c>
      <c r="E169" s="1" t="n">
        <v>86004</v>
      </c>
      <c r="F169" s="1" t="s">
        <v>17</v>
      </c>
      <c r="G169" s="1" t="s">
        <v>153</v>
      </c>
      <c r="H169" s="1" t="n">
        <v>479</v>
      </c>
      <c r="I169" s="1" t="n">
        <v>609</v>
      </c>
      <c r="J169" s="1" t="n">
        <v>1.271398747</v>
      </c>
    </row>
    <row r="170" customFormat="false" ht="15" hidden="false" customHeight="false" outlineLevel="0" collapsed="false">
      <c r="A170" s="1" t="s">
        <v>14</v>
      </c>
      <c r="B170" s="1" t="n">
        <v>90801</v>
      </c>
      <c r="C170" s="1" t="s">
        <v>15</v>
      </c>
      <c r="D170" s="1" t="s">
        <v>156</v>
      </c>
      <c r="E170" s="1" t="n">
        <v>86004</v>
      </c>
      <c r="F170" s="1" t="s">
        <v>17</v>
      </c>
      <c r="G170" s="1" t="s">
        <v>153</v>
      </c>
      <c r="H170" s="1" t="n">
        <v>479</v>
      </c>
      <c r="I170" s="1" t="n">
        <v>734</v>
      </c>
      <c r="J170" s="1" t="n">
        <v>1.532359081</v>
      </c>
    </row>
    <row r="171" customFormat="false" ht="15" hidden="false" customHeight="false" outlineLevel="0" collapsed="false">
      <c r="A171" s="1" t="s">
        <v>14</v>
      </c>
      <c r="B171" s="1" t="n">
        <v>90801</v>
      </c>
      <c r="C171" s="1" t="s">
        <v>15</v>
      </c>
      <c r="D171" s="1" t="s">
        <v>129</v>
      </c>
      <c r="E171" s="1" t="n">
        <v>85210</v>
      </c>
      <c r="F171" s="1" t="s">
        <v>17</v>
      </c>
      <c r="G171" s="1" t="s">
        <v>153</v>
      </c>
      <c r="H171" s="1" t="n">
        <v>392</v>
      </c>
      <c r="I171" s="1" t="n">
        <v>335</v>
      </c>
      <c r="J171" s="1" t="n">
        <v>0.854591837</v>
      </c>
    </row>
    <row r="172" customFormat="false" ht="15" hidden="false" customHeight="false" outlineLevel="0" collapsed="false">
      <c r="A172" s="1" t="s">
        <v>14</v>
      </c>
      <c r="B172" s="1" t="n">
        <v>90801</v>
      </c>
      <c r="C172" s="1" t="s">
        <v>15</v>
      </c>
      <c r="D172" s="1" t="s">
        <v>129</v>
      </c>
      <c r="E172" s="1" t="n">
        <v>85210</v>
      </c>
      <c r="F172" s="1" t="s">
        <v>17</v>
      </c>
      <c r="G172" s="1" t="s">
        <v>153</v>
      </c>
      <c r="H172" s="1" t="n">
        <v>392</v>
      </c>
      <c r="I172" s="1" t="n">
        <v>345</v>
      </c>
      <c r="J172" s="1" t="n">
        <v>0.880102041</v>
      </c>
    </row>
    <row r="173" customFormat="false" ht="15" hidden="false" customHeight="false" outlineLevel="0" collapsed="false">
      <c r="A173" s="1" t="s">
        <v>14</v>
      </c>
      <c r="B173" s="1" t="n">
        <v>90801</v>
      </c>
      <c r="C173" s="1" t="s">
        <v>15</v>
      </c>
      <c r="D173" s="1" t="s">
        <v>129</v>
      </c>
      <c r="E173" s="1" t="n">
        <v>85210</v>
      </c>
      <c r="F173" s="1" t="s">
        <v>17</v>
      </c>
      <c r="G173" s="1" t="s">
        <v>153</v>
      </c>
      <c r="H173" s="1" t="n">
        <v>392</v>
      </c>
      <c r="I173" s="1" t="n">
        <v>416</v>
      </c>
      <c r="J173" s="1" t="n">
        <v>1.06122449</v>
      </c>
    </row>
    <row r="174" customFormat="false" ht="15" hidden="false" customHeight="false" outlineLevel="0" collapsed="false">
      <c r="A174" s="1" t="s">
        <v>14</v>
      </c>
      <c r="B174" s="1" t="n">
        <v>90801</v>
      </c>
      <c r="C174" s="1" t="s">
        <v>15</v>
      </c>
      <c r="D174" s="1" t="s">
        <v>129</v>
      </c>
      <c r="E174" s="1" t="n">
        <v>85210</v>
      </c>
      <c r="F174" s="1" t="s">
        <v>17</v>
      </c>
      <c r="G174" s="1" t="s">
        <v>153</v>
      </c>
      <c r="H174" s="1" t="n">
        <v>392</v>
      </c>
      <c r="I174" s="1" t="n">
        <v>429</v>
      </c>
      <c r="J174" s="1" t="n">
        <v>1.094387755</v>
      </c>
    </row>
    <row r="175" customFormat="false" ht="15" hidden="false" customHeight="false" outlineLevel="0" collapsed="false">
      <c r="A175" s="1" t="s">
        <v>14</v>
      </c>
      <c r="B175" s="1" t="n">
        <v>90801</v>
      </c>
      <c r="C175" s="1" t="s">
        <v>15</v>
      </c>
      <c r="D175" s="1" t="s">
        <v>132</v>
      </c>
      <c r="E175" s="1" t="n">
        <v>85009</v>
      </c>
      <c r="F175" s="1" t="s">
        <v>17</v>
      </c>
      <c r="G175" s="1" t="s">
        <v>153</v>
      </c>
      <c r="H175" s="1" t="n">
        <v>376</v>
      </c>
      <c r="I175" s="1" t="n">
        <v>315</v>
      </c>
      <c r="J175" s="1" t="n">
        <v>0.837765957</v>
      </c>
    </row>
    <row r="176" customFormat="false" ht="15" hidden="false" customHeight="false" outlineLevel="0" collapsed="false">
      <c r="A176" s="1" t="s">
        <v>14</v>
      </c>
      <c r="B176" s="1" t="n">
        <v>90801</v>
      </c>
      <c r="C176" s="1" t="s">
        <v>15</v>
      </c>
      <c r="D176" s="1" t="s">
        <v>132</v>
      </c>
      <c r="E176" s="1" t="n">
        <v>85009</v>
      </c>
      <c r="F176" s="1" t="s">
        <v>17</v>
      </c>
      <c r="G176" s="1" t="s">
        <v>153</v>
      </c>
      <c r="H176" s="1" t="n">
        <v>376</v>
      </c>
      <c r="I176" s="1" t="n">
        <v>345</v>
      </c>
      <c r="J176" s="1" t="n">
        <v>0.917553191</v>
      </c>
    </row>
    <row r="177" customFormat="false" ht="15" hidden="false" customHeight="false" outlineLevel="0" collapsed="false">
      <c r="A177" s="1" t="s">
        <v>14</v>
      </c>
      <c r="B177" s="1" t="n">
        <v>90801</v>
      </c>
      <c r="C177" s="1" t="s">
        <v>15</v>
      </c>
      <c r="D177" s="1" t="s">
        <v>132</v>
      </c>
      <c r="E177" s="1" t="n">
        <v>85009</v>
      </c>
      <c r="F177" s="1" t="s">
        <v>17</v>
      </c>
      <c r="G177" s="1" t="s">
        <v>153</v>
      </c>
      <c r="H177" s="1" t="n">
        <v>376</v>
      </c>
      <c r="I177" s="1" t="n">
        <v>419</v>
      </c>
      <c r="J177" s="1" t="n">
        <v>1.114361702</v>
      </c>
    </row>
    <row r="178" customFormat="false" ht="15" hidden="false" customHeight="false" outlineLevel="0" collapsed="false">
      <c r="A178" s="1" t="s">
        <v>14</v>
      </c>
      <c r="B178" s="1" t="n">
        <v>90801</v>
      </c>
      <c r="C178" s="1" t="s">
        <v>15</v>
      </c>
      <c r="D178" s="1" t="s">
        <v>132</v>
      </c>
      <c r="E178" s="1" t="n">
        <v>85009</v>
      </c>
      <c r="F178" s="1" t="s">
        <v>17</v>
      </c>
      <c r="G178" s="1" t="s">
        <v>153</v>
      </c>
      <c r="H178" s="1" t="n">
        <v>376</v>
      </c>
      <c r="I178" s="1" t="n">
        <v>463</v>
      </c>
      <c r="J178" s="1" t="n">
        <v>1.231382979</v>
      </c>
    </row>
    <row r="179" customFormat="false" ht="15" hidden="false" customHeight="false" outlineLevel="0" collapsed="false">
      <c r="A179" s="1" t="s">
        <v>14</v>
      </c>
      <c r="B179" s="1" t="n">
        <v>90801</v>
      </c>
      <c r="C179" s="1" t="s">
        <v>15</v>
      </c>
      <c r="D179" s="1" t="s">
        <v>16</v>
      </c>
      <c r="E179" s="1" t="n">
        <v>85704</v>
      </c>
      <c r="F179" s="1" t="s">
        <v>17</v>
      </c>
      <c r="G179" s="1" t="s">
        <v>153</v>
      </c>
      <c r="H179" s="1" t="n">
        <v>488</v>
      </c>
      <c r="I179" s="1" t="n">
        <v>439</v>
      </c>
      <c r="J179" s="1" t="n">
        <v>0.899590164</v>
      </c>
    </row>
    <row r="180" customFormat="false" ht="15" hidden="false" customHeight="false" outlineLevel="0" collapsed="false">
      <c r="A180" s="1" t="s">
        <v>14</v>
      </c>
      <c r="B180" s="1" t="n">
        <v>90801</v>
      </c>
      <c r="C180" s="1" t="s">
        <v>15</v>
      </c>
      <c r="D180" s="1" t="s">
        <v>16</v>
      </c>
      <c r="E180" s="1" t="n">
        <v>85704</v>
      </c>
      <c r="F180" s="1" t="s">
        <v>17</v>
      </c>
      <c r="G180" s="1" t="s">
        <v>153</v>
      </c>
      <c r="H180" s="1" t="n">
        <v>488</v>
      </c>
      <c r="I180" s="1" t="n">
        <v>445</v>
      </c>
      <c r="J180" s="1" t="n">
        <v>0.911885246</v>
      </c>
    </row>
    <row r="181" customFormat="false" ht="15" hidden="false" customHeight="false" outlineLevel="0" collapsed="false">
      <c r="A181" s="1" t="s">
        <v>14</v>
      </c>
      <c r="B181" s="1" t="n">
        <v>90801</v>
      </c>
      <c r="C181" s="1" t="s">
        <v>15</v>
      </c>
      <c r="D181" s="1" t="s">
        <v>16</v>
      </c>
      <c r="E181" s="1" t="n">
        <v>85704</v>
      </c>
      <c r="F181" s="1" t="s">
        <v>17</v>
      </c>
      <c r="G181" s="1" t="s">
        <v>153</v>
      </c>
      <c r="H181" s="1" t="n">
        <v>488</v>
      </c>
      <c r="I181" s="1" t="n">
        <v>455</v>
      </c>
      <c r="J181" s="1" t="n">
        <v>0.932377049</v>
      </c>
    </row>
    <row r="182" customFormat="false" ht="15" hidden="false" customHeight="false" outlineLevel="0" collapsed="false">
      <c r="A182" s="1" t="s">
        <v>14</v>
      </c>
      <c r="B182" s="1" t="n">
        <v>90801</v>
      </c>
      <c r="C182" s="1" t="s">
        <v>15</v>
      </c>
      <c r="D182" s="1" t="s">
        <v>16</v>
      </c>
      <c r="E182" s="1" t="n">
        <v>85704</v>
      </c>
      <c r="F182" s="1" t="s">
        <v>17</v>
      </c>
      <c r="G182" s="1" t="s">
        <v>153</v>
      </c>
      <c r="H182" s="1" t="n">
        <v>488</v>
      </c>
      <c r="I182" s="1" t="n">
        <v>508</v>
      </c>
      <c r="J182" s="1" t="n">
        <v>1.040983607</v>
      </c>
    </row>
    <row r="183" customFormat="false" ht="15" hidden="false" customHeight="false" outlineLevel="0" collapsed="false">
      <c r="A183" s="1" t="s">
        <v>14</v>
      </c>
      <c r="B183" s="1" t="n">
        <v>90801</v>
      </c>
      <c r="C183" s="1" t="s">
        <v>15</v>
      </c>
      <c r="D183" s="1" t="s">
        <v>139</v>
      </c>
      <c r="E183" s="1" t="n">
        <v>85365</v>
      </c>
      <c r="F183" s="1" t="s">
        <v>17</v>
      </c>
      <c r="G183" s="1" t="s">
        <v>153</v>
      </c>
      <c r="H183" s="1" t="n">
        <v>270</v>
      </c>
      <c r="I183" s="1" t="n">
        <v>325</v>
      </c>
      <c r="J183" s="1" t="n">
        <v>1.203703704</v>
      </c>
    </row>
    <row r="184" customFormat="false" ht="15" hidden="false" customHeight="false" outlineLevel="0" collapsed="false">
      <c r="A184" s="1" t="s">
        <v>14</v>
      </c>
      <c r="B184" s="1" t="n">
        <v>90801</v>
      </c>
      <c r="C184" s="1" t="s">
        <v>15</v>
      </c>
      <c r="D184" s="1" t="s">
        <v>139</v>
      </c>
      <c r="E184" s="1" t="n">
        <v>85365</v>
      </c>
      <c r="F184" s="1" t="s">
        <v>17</v>
      </c>
      <c r="G184" s="1" t="s">
        <v>153</v>
      </c>
      <c r="H184" s="1" t="n">
        <v>270</v>
      </c>
      <c r="I184" s="1" t="n">
        <v>340</v>
      </c>
      <c r="J184" s="1" t="n">
        <v>1.259259259</v>
      </c>
    </row>
    <row r="185" customFormat="false" ht="15" hidden="false" customHeight="false" outlineLevel="0" collapsed="false">
      <c r="A185" s="1" t="s">
        <v>14</v>
      </c>
      <c r="B185" s="1" t="n">
        <v>90801</v>
      </c>
      <c r="C185" s="1" t="s">
        <v>15</v>
      </c>
      <c r="D185" s="1" t="s">
        <v>139</v>
      </c>
      <c r="E185" s="1" t="n">
        <v>85365</v>
      </c>
      <c r="F185" s="1" t="s">
        <v>17</v>
      </c>
      <c r="G185" s="1" t="s">
        <v>153</v>
      </c>
      <c r="H185" s="1" t="n">
        <v>270</v>
      </c>
      <c r="I185" s="1" t="n">
        <v>379</v>
      </c>
      <c r="J185" s="1" t="n">
        <v>1.403703704</v>
      </c>
    </row>
    <row r="186" customFormat="false" ht="15" hidden="false" customHeight="false" outlineLevel="0" collapsed="false">
      <c r="A186" s="1" t="s">
        <v>14</v>
      </c>
      <c r="B186" s="1" t="n">
        <v>90801</v>
      </c>
      <c r="C186" s="1" t="s">
        <v>15</v>
      </c>
      <c r="D186" s="1" t="s">
        <v>139</v>
      </c>
      <c r="E186" s="1" t="n">
        <v>85365</v>
      </c>
      <c r="F186" s="1" t="s">
        <v>17</v>
      </c>
      <c r="G186" s="1" t="s">
        <v>153</v>
      </c>
      <c r="H186" s="1" t="n">
        <v>270</v>
      </c>
      <c r="I186" s="1" t="n">
        <v>504</v>
      </c>
      <c r="J186" s="1" t="n">
        <v>1.866666667</v>
      </c>
    </row>
    <row r="187" customFormat="false" ht="15" hidden="false" customHeight="false" outlineLevel="0" collapsed="false">
      <c r="A187" s="1" t="s">
        <v>157</v>
      </c>
      <c r="B187" s="1" t="n">
        <v>94601</v>
      </c>
      <c r="C187" s="1" t="s">
        <v>15</v>
      </c>
      <c r="D187" s="1" t="s">
        <v>156</v>
      </c>
      <c r="E187" s="1" t="n">
        <v>86001</v>
      </c>
      <c r="F187" s="1" t="s">
        <v>17</v>
      </c>
      <c r="G187" s="1" t="s">
        <v>153</v>
      </c>
      <c r="H187" s="1" t="n">
        <v>750</v>
      </c>
      <c r="I187" s="1" t="n">
        <v>600</v>
      </c>
      <c r="J187" s="1" t="n">
        <v>0.8</v>
      </c>
    </row>
    <row r="188" customFormat="false" ht="15" hidden="false" customHeight="false" outlineLevel="0" collapsed="false">
      <c r="A188" s="1" t="s">
        <v>157</v>
      </c>
      <c r="B188" s="1" t="n">
        <v>94601</v>
      </c>
      <c r="C188" s="1" t="s">
        <v>15</v>
      </c>
      <c r="D188" s="1" t="s">
        <v>156</v>
      </c>
      <c r="E188" s="1" t="n">
        <v>86001</v>
      </c>
      <c r="F188" s="1" t="s">
        <v>17</v>
      </c>
      <c r="G188" s="1" t="s">
        <v>153</v>
      </c>
      <c r="H188" s="1" t="n">
        <v>750</v>
      </c>
      <c r="I188" s="1" t="n">
        <v>683</v>
      </c>
      <c r="J188" s="1" t="n">
        <v>0.910666667</v>
      </c>
    </row>
    <row r="189" customFormat="false" ht="15" hidden="false" customHeight="false" outlineLevel="0" collapsed="false">
      <c r="A189" s="1" t="s">
        <v>157</v>
      </c>
      <c r="B189" s="1" t="n">
        <v>94601</v>
      </c>
      <c r="C189" s="1" t="s">
        <v>15</v>
      </c>
      <c r="D189" s="1" t="s">
        <v>156</v>
      </c>
      <c r="E189" s="1" t="n">
        <v>86001</v>
      </c>
      <c r="F189" s="1" t="s">
        <v>17</v>
      </c>
      <c r="G189" s="1" t="s">
        <v>153</v>
      </c>
      <c r="H189" s="1" t="n">
        <v>750</v>
      </c>
      <c r="I189" s="1" t="n">
        <v>751</v>
      </c>
      <c r="J189" s="1" t="n">
        <v>1.001333333</v>
      </c>
    </row>
    <row r="190" customFormat="false" ht="15" hidden="false" customHeight="false" outlineLevel="0" collapsed="false">
      <c r="A190" s="1" t="s">
        <v>157</v>
      </c>
      <c r="B190" s="1" t="n">
        <v>94601</v>
      </c>
      <c r="C190" s="1" t="s">
        <v>15</v>
      </c>
      <c r="D190" s="1" t="s">
        <v>156</v>
      </c>
      <c r="E190" s="1" t="n">
        <v>86001</v>
      </c>
      <c r="F190" s="1" t="s">
        <v>17</v>
      </c>
      <c r="G190" s="1" t="s">
        <v>153</v>
      </c>
      <c r="H190" s="1" t="n">
        <v>750</v>
      </c>
      <c r="I190" s="1" t="n">
        <v>799</v>
      </c>
      <c r="J190" s="1" t="n">
        <v>1.065333333</v>
      </c>
    </row>
    <row r="191" customFormat="false" ht="15" hidden="false" customHeight="false" outlineLevel="0" collapsed="false">
      <c r="A191" s="1" t="s">
        <v>157</v>
      </c>
      <c r="B191" s="1" t="n">
        <v>94601</v>
      </c>
      <c r="C191" s="1" t="s">
        <v>15</v>
      </c>
      <c r="D191" s="1" t="s">
        <v>129</v>
      </c>
      <c r="E191" s="1" t="n">
        <v>85201</v>
      </c>
      <c r="F191" s="1" t="s">
        <v>17</v>
      </c>
      <c r="G191" s="1" t="s">
        <v>153</v>
      </c>
      <c r="H191" s="1" t="n">
        <v>760</v>
      </c>
      <c r="I191" s="1" t="n">
        <v>539</v>
      </c>
      <c r="J191" s="1" t="n">
        <v>0.709210526</v>
      </c>
    </row>
    <row r="192" customFormat="false" ht="15" hidden="false" customHeight="false" outlineLevel="0" collapsed="false">
      <c r="A192" s="1" t="s">
        <v>157</v>
      </c>
      <c r="B192" s="1" t="n">
        <v>94601</v>
      </c>
      <c r="C192" s="1" t="s">
        <v>15</v>
      </c>
      <c r="D192" s="1" t="s">
        <v>129</v>
      </c>
      <c r="E192" s="1" t="n">
        <v>85201</v>
      </c>
      <c r="F192" s="1" t="s">
        <v>17</v>
      </c>
      <c r="G192" s="1" t="s">
        <v>153</v>
      </c>
      <c r="H192" s="1" t="n">
        <v>760</v>
      </c>
      <c r="I192" s="1" t="n">
        <v>575</v>
      </c>
      <c r="J192" s="1" t="n">
        <v>0.756578947</v>
      </c>
    </row>
    <row r="193" customFormat="false" ht="15" hidden="false" customHeight="false" outlineLevel="0" collapsed="false">
      <c r="A193" s="1" t="s">
        <v>157</v>
      </c>
      <c r="B193" s="1" t="n">
        <v>94601</v>
      </c>
      <c r="C193" s="1" t="s">
        <v>15</v>
      </c>
      <c r="D193" s="1" t="s">
        <v>129</v>
      </c>
      <c r="E193" s="1" t="n">
        <v>85201</v>
      </c>
      <c r="F193" s="1" t="s">
        <v>17</v>
      </c>
      <c r="G193" s="1" t="s">
        <v>153</v>
      </c>
      <c r="H193" s="1" t="n">
        <v>760</v>
      </c>
      <c r="I193" s="1" t="n">
        <v>585</v>
      </c>
      <c r="J193" s="1" t="n">
        <v>0.769736842</v>
      </c>
    </row>
    <row r="194" customFormat="false" ht="15" hidden="false" customHeight="false" outlineLevel="0" collapsed="false">
      <c r="A194" s="1" t="s">
        <v>157</v>
      </c>
      <c r="B194" s="1" t="n">
        <v>94601</v>
      </c>
      <c r="C194" s="1" t="s">
        <v>15</v>
      </c>
      <c r="D194" s="1" t="s">
        <v>129</v>
      </c>
      <c r="E194" s="1" t="n">
        <v>85201</v>
      </c>
      <c r="F194" s="1" t="s">
        <v>17</v>
      </c>
      <c r="G194" s="1" t="s">
        <v>153</v>
      </c>
      <c r="H194" s="1" t="n">
        <v>760</v>
      </c>
      <c r="I194" s="1" t="n">
        <v>661</v>
      </c>
      <c r="J194" s="1" t="n">
        <v>0.869736842</v>
      </c>
    </row>
    <row r="195" customFormat="false" ht="15" hidden="false" customHeight="false" outlineLevel="0" collapsed="false">
      <c r="A195" s="1" t="s">
        <v>157</v>
      </c>
      <c r="B195" s="1" t="n">
        <v>94601</v>
      </c>
      <c r="C195" s="1" t="s">
        <v>15</v>
      </c>
      <c r="D195" s="1" t="s">
        <v>132</v>
      </c>
      <c r="E195" s="1" t="n">
        <v>85001</v>
      </c>
      <c r="F195" s="1" t="s">
        <v>17</v>
      </c>
      <c r="G195" s="1" t="s">
        <v>153</v>
      </c>
      <c r="H195" s="1" t="n">
        <v>743</v>
      </c>
      <c r="I195" s="1" t="n">
        <v>499</v>
      </c>
      <c r="J195" s="1" t="n">
        <v>0.671601615</v>
      </c>
    </row>
    <row r="196" customFormat="false" ht="15" hidden="false" customHeight="false" outlineLevel="0" collapsed="false">
      <c r="A196" s="1" t="s">
        <v>157</v>
      </c>
      <c r="B196" s="1" t="n">
        <v>94601</v>
      </c>
      <c r="C196" s="1" t="s">
        <v>15</v>
      </c>
      <c r="D196" s="1" t="s">
        <v>132</v>
      </c>
      <c r="E196" s="1" t="n">
        <v>85001</v>
      </c>
      <c r="F196" s="1" t="s">
        <v>17</v>
      </c>
      <c r="G196" s="1" t="s">
        <v>153</v>
      </c>
      <c r="H196" s="1" t="n">
        <v>743</v>
      </c>
      <c r="I196" s="1" t="n">
        <v>565</v>
      </c>
      <c r="J196" s="1" t="n">
        <v>0.760430686</v>
      </c>
    </row>
    <row r="197" customFormat="false" ht="15" hidden="false" customHeight="false" outlineLevel="0" collapsed="false">
      <c r="A197" s="1" t="s">
        <v>157</v>
      </c>
      <c r="B197" s="1" t="n">
        <v>94601</v>
      </c>
      <c r="C197" s="1" t="s">
        <v>15</v>
      </c>
      <c r="D197" s="1" t="s">
        <v>132</v>
      </c>
      <c r="E197" s="1" t="n">
        <v>85001</v>
      </c>
      <c r="F197" s="1" t="s">
        <v>17</v>
      </c>
      <c r="G197" s="1" t="s">
        <v>153</v>
      </c>
      <c r="H197" s="1" t="n">
        <v>743</v>
      </c>
      <c r="I197" s="1" t="n">
        <v>586</v>
      </c>
      <c r="J197" s="1" t="n">
        <v>0.788694482</v>
      </c>
    </row>
    <row r="198" customFormat="false" ht="15" hidden="false" customHeight="false" outlineLevel="0" collapsed="false">
      <c r="A198" s="1" t="s">
        <v>157</v>
      </c>
      <c r="B198" s="1" t="n">
        <v>94601</v>
      </c>
      <c r="C198" s="1" t="s">
        <v>15</v>
      </c>
      <c r="D198" s="1" t="s">
        <v>132</v>
      </c>
      <c r="E198" s="1" t="n">
        <v>85001</v>
      </c>
      <c r="F198" s="1" t="s">
        <v>17</v>
      </c>
      <c r="G198" s="1" t="s">
        <v>153</v>
      </c>
      <c r="H198" s="1" t="n">
        <v>743</v>
      </c>
      <c r="I198" s="1" t="n">
        <v>654</v>
      </c>
      <c r="J198" s="1" t="n">
        <v>0.880215343</v>
      </c>
    </row>
    <row r="199" customFormat="false" ht="15" hidden="false" customHeight="false" outlineLevel="0" collapsed="false">
      <c r="A199" s="1" t="s">
        <v>157</v>
      </c>
      <c r="B199" s="1" t="n">
        <v>94601</v>
      </c>
      <c r="C199" s="1" t="s">
        <v>15</v>
      </c>
      <c r="D199" s="1" t="s">
        <v>16</v>
      </c>
      <c r="E199" s="1" t="n">
        <v>85701</v>
      </c>
      <c r="F199" s="1" t="s">
        <v>17</v>
      </c>
      <c r="G199" s="1" t="s">
        <v>153</v>
      </c>
      <c r="H199" s="1" t="n">
        <v>856</v>
      </c>
      <c r="I199" s="1" t="n">
        <v>650</v>
      </c>
      <c r="J199" s="1" t="n">
        <v>0.759345794</v>
      </c>
    </row>
    <row r="200" customFormat="false" ht="15" hidden="false" customHeight="false" outlineLevel="0" collapsed="false">
      <c r="A200" s="1" t="s">
        <v>157</v>
      </c>
      <c r="B200" s="1" t="n">
        <v>94601</v>
      </c>
      <c r="C200" s="1" t="s">
        <v>15</v>
      </c>
      <c r="D200" s="1" t="s">
        <v>16</v>
      </c>
      <c r="E200" s="1" t="n">
        <v>85701</v>
      </c>
      <c r="F200" s="1" t="s">
        <v>17</v>
      </c>
      <c r="G200" s="1" t="s">
        <v>153</v>
      </c>
      <c r="H200" s="1" t="n">
        <v>856</v>
      </c>
      <c r="I200" s="1" t="n">
        <v>709</v>
      </c>
      <c r="J200" s="1" t="n">
        <v>0.828271028</v>
      </c>
    </row>
    <row r="201" customFormat="false" ht="15" hidden="false" customHeight="false" outlineLevel="0" collapsed="false">
      <c r="A201" s="1" t="s">
        <v>157</v>
      </c>
      <c r="B201" s="1" t="n">
        <v>94601</v>
      </c>
      <c r="C201" s="1" t="s">
        <v>15</v>
      </c>
      <c r="D201" s="1" t="s">
        <v>16</v>
      </c>
      <c r="E201" s="1" t="n">
        <v>85701</v>
      </c>
      <c r="F201" s="1" t="s">
        <v>17</v>
      </c>
      <c r="G201" s="1" t="s">
        <v>153</v>
      </c>
      <c r="H201" s="1" t="n">
        <v>856</v>
      </c>
      <c r="I201" s="1" t="n">
        <v>741</v>
      </c>
      <c r="J201" s="1" t="n">
        <v>0.865654206</v>
      </c>
    </row>
    <row r="202" customFormat="false" ht="15" hidden="false" customHeight="false" outlineLevel="0" collapsed="false">
      <c r="A202" s="1" t="s">
        <v>157</v>
      </c>
      <c r="B202" s="1" t="n">
        <v>94601</v>
      </c>
      <c r="C202" s="1" t="s">
        <v>15</v>
      </c>
      <c r="D202" s="1" t="s">
        <v>16</v>
      </c>
      <c r="E202" s="1" t="n">
        <v>85701</v>
      </c>
      <c r="F202" s="1" t="s">
        <v>17</v>
      </c>
      <c r="G202" s="1" t="s">
        <v>153</v>
      </c>
      <c r="H202" s="1" t="n">
        <v>856</v>
      </c>
      <c r="I202" s="1" t="n">
        <v>755</v>
      </c>
      <c r="J202" s="1" t="n">
        <v>0.882009346</v>
      </c>
    </row>
    <row r="203" customFormat="false" ht="15" hidden="false" customHeight="false" outlineLevel="0" collapsed="false">
      <c r="A203" s="1" t="s">
        <v>157</v>
      </c>
      <c r="B203" s="1" t="n">
        <v>94601</v>
      </c>
      <c r="C203" s="1" t="s">
        <v>15</v>
      </c>
      <c r="D203" s="1" t="s">
        <v>139</v>
      </c>
      <c r="E203" s="1" t="n">
        <v>85364</v>
      </c>
      <c r="F203" s="1" t="s">
        <v>17</v>
      </c>
      <c r="G203" s="1" t="s">
        <v>153</v>
      </c>
      <c r="H203" s="1" t="n">
        <v>644</v>
      </c>
      <c r="I203" s="1" t="n">
        <v>555</v>
      </c>
      <c r="J203" s="1" t="n">
        <v>0.861801242</v>
      </c>
    </row>
    <row r="204" customFormat="false" ht="15" hidden="false" customHeight="false" outlineLevel="0" collapsed="false">
      <c r="A204" s="1" t="s">
        <v>157</v>
      </c>
      <c r="B204" s="1" t="n">
        <v>94601</v>
      </c>
      <c r="C204" s="1" t="s">
        <v>15</v>
      </c>
      <c r="D204" s="1" t="s">
        <v>139</v>
      </c>
      <c r="E204" s="1" t="n">
        <v>85364</v>
      </c>
      <c r="F204" s="1" t="s">
        <v>17</v>
      </c>
      <c r="G204" s="1" t="s">
        <v>153</v>
      </c>
      <c r="H204" s="1" t="n">
        <v>644</v>
      </c>
      <c r="I204" s="1" t="n">
        <v>629</v>
      </c>
      <c r="J204" s="1" t="n">
        <v>0.976708075</v>
      </c>
    </row>
    <row r="205" customFormat="false" ht="15" hidden="false" customHeight="false" outlineLevel="0" collapsed="false">
      <c r="A205" s="1" t="s">
        <v>157</v>
      </c>
      <c r="B205" s="1" t="n">
        <v>94601</v>
      </c>
      <c r="C205" s="1" t="s">
        <v>15</v>
      </c>
      <c r="D205" s="1" t="s">
        <v>139</v>
      </c>
      <c r="E205" s="1" t="n">
        <v>85364</v>
      </c>
      <c r="F205" s="1" t="s">
        <v>17</v>
      </c>
      <c r="G205" s="1" t="s">
        <v>153</v>
      </c>
      <c r="H205" s="1" t="n">
        <v>644</v>
      </c>
      <c r="I205" s="1" t="n">
        <v>658</v>
      </c>
      <c r="J205" s="1" t="n">
        <v>1.02173913</v>
      </c>
    </row>
    <row r="206" customFormat="false" ht="15" hidden="false" customHeight="false" outlineLevel="0" collapsed="false">
      <c r="A206" s="1" t="s">
        <v>157</v>
      </c>
      <c r="B206" s="1" t="n">
        <v>94601</v>
      </c>
      <c r="C206" s="1" t="s">
        <v>15</v>
      </c>
      <c r="D206" s="1" t="s">
        <v>139</v>
      </c>
      <c r="E206" s="1" t="n">
        <v>85364</v>
      </c>
      <c r="F206" s="1" t="s">
        <v>17</v>
      </c>
      <c r="G206" s="1" t="s">
        <v>153</v>
      </c>
      <c r="H206" s="1" t="n">
        <v>644</v>
      </c>
      <c r="I206" s="1" t="n">
        <v>683</v>
      </c>
      <c r="J206" s="1" t="n">
        <v>1.060559006</v>
      </c>
    </row>
    <row r="207" customFormat="false" ht="15" hidden="false" customHeight="false" outlineLevel="0" collapsed="false">
      <c r="A207" s="1" t="s">
        <v>19</v>
      </c>
      <c r="B207" s="1" t="n">
        <v>90723</v>
      </c>
      <c r="C207" s="1" t="s">
        <v>15</v>
      </c>
      <c r="D207" s="1" t="s">
        <v>156</v>
      </c>
      <c r="E207" s="1" t="n">
        <v>86001</v>
      </c>
      <c r="F207" s="1" t="s">
        <v>17</v>
      </c>
      <c r="G207" s="1" t="s">
        <v>153</v>
      </c>
      <c r="H207" s="1" t="n">
        <v>502.4</v>
      </c>
      <c r="I207" s="1" t="n">
        <v>528</v>
      </c>
      <c r="J207" s="1" t="n">
        <v>1.050955414</v>
      </c>
    </row>
    <row r="208" customFormat="false" ht="15" hidden="false" customHeight="false" outlineLevel="0" collapsed="false">
      <c r="A208" s="1" t="s">
        <v>19</v>
      </c>
      <c r="B208" s="1" t="n">
        <v>90723</v>
      </c>
      <c r="C208" s="1" t="s">
        <v>15</v>
      </c>
      <c r="D208" s="1" t="s">
        <v>156</v>
      </c>
      <c r="E208" s="1" t="n">
        <v>86001</v>
      </c>
      <c r="F208" s="1" t="s">
        <v>17</v>
      </c>
      <c r="G208" s="1" t="s">
        <v>153</v>
      </c>
      <c r="H208" s="1" t="n">
        <v>502.4</v>
      </c>
      <c r="I208" s="1" t="n">
        <v>533</v>
      </c>
      <c r="J208" s="1" t="n">
        <v>1.060907643</v>
      </c>
    </row>
    <row r="209" customFormat="false" ht="15" hidden="false" customHeight="false" outlineLevel="0" collapsed="false">
      <c r="A209" s="1" t="s">
        <v>19</v>
      </c>
      <c r="B209" s="1" t="n">
        <v>90723</v>
      </c>
      <c r="C209" s="1" t="s">
        <v>15</v>
      </c>
      <c r="D209" s="1" t="s">
        <v>156</v>
      </c>
      <c r="E209" s="1" t="n">
        <v>86001</v>
      </c>
      <c r="F209" s="1" t="s">
        <v>17</v>
      </c>
      <c r="G209" s="1" t="s">
        <v>153</v>
      </c>
      <c r="H209" s="1" t="n">
        <v>502.4</v>
      </c>
      <c r="I209" s="1" t="n">
        <v>599</v>
      </c>
      <c r="J209" s="1" t="n">
        <v>1.19227707</v>
      </c>
    </row>
    <row r="210" customFormat="false" ht="15" hidden="false" customHeight="false" outlineLevel="0" collapsed="false">
      <c r="A210" s="1" t="s">
        <v>19</v>
      </c>
      <c r="B210" s="1" t="n">
        <v>90723</v>
      </c>
      <c r="C210" s="1" t="s">
        <v>15</v>
      </c>
      <c r="D210" s="1" t="s">
        <v>129</v>
      </c>
      <c r="E210" s="1" t="n">
        <v>85201</v>
      </c>
      <c r="F210" s="1" t="s">
        <v>17</v>
      </c>
      <c r="G210" s="1" t="s">
        <v>153</v>
      </c>
      <c r="H210" s="1" t="n">
        <v>384.61</v>
      </c>
      <c r="I210" s="1" t="n">
        <v>362</v>
      </c>
      <c r="J210" s="1" t="n">
        <v>0.941213177</v>
      </c>
    </row>
    <row r="211" customFormat="false" ht="15" hidden="false" customHeight="false" outlineLevel="0" collapsed="false">
      <c r="A211" s="1" t="s">
        <v>19</v>
      </c>
      <c r="B211" s="1" t="n">
        <v>90723</v>
      </c>
      <c r="C211" s="1" t="s">
        <v>15</v>
      </c>
      <c r="D211" s="1" t="s">
        <v>129</v>
      </c>
      <c r="E211" s="1" t="n">
        <v>85201</v>
      </c>
      <c r="F211" s="1" t="s">
        <v>17</v>
      </c>
      <c r="G211" s="1" t="s">
        <v>153</v>
      </c>
      <c r="H211" s="1" t="n">
        <v>384.61</v>
      </c>
      <c r="I211" s="1" t="n">
        <v>569</v>
      </c>
      <c r="J211" s="1" t="n">
        <v>1.479420712</v>
      </c>
    </row>
    <row r="212" customFormat="false" ht="15" hidden="false" customHeight="false" outlineLevel="0" collapsed="false">
      <c r="A212" s="1" t="s">
        <v>19</v>
      </c>
      <c r="B212" s="1" t="n">
        <v>90723</v>
      </c>
      <c r="C212" s="1" t="s">
        <v>15</v>
      </c>
      <c r="D212" s="1" t="s">
        <v>129</v>
      </c>
      <c r="E212" s="1" t="n">
        <v>85201</v>
      </c>
      <c r="F212" s="1" t="s">
        <v>17</v>
      </c>
      <c r="G212" s="1" t="s">
        <v>153</v>
      </c>
      <c r="H212" s="1" t="n">
        <v>384.61</v>
      </c>
      <c r="I212" s="1" t="n">
        <v>624</v>
      </c>
      <c r="J212" s="1" t="n">
        <v>1.622422714</v>
      </c>
    </row>
    <row r="213" customFormat="false" ht="15" hidden="false" customHeight="false" outlineLevel="0" collapsed="false">
      <c r="A213" s="1" t="s">
        <v>19</v>
      </c>
      <c r="B213" s="1" t="n">
        <v>90723</v>
      </c>
      <c r="C213" s="1" t="s">
        <v>15</v>
      </c>
      <c r="D213" s="1" t="s">
        <v>132</v>
      </c>
      <c r="E213" s="1" t="n">
        <v>85001</v>
      </c>
      <c r="F213" s="1" t="s">
        <v>17</v>
      </c>
      <c r="G213" s="1" t="s">
        <v>153</v>
      </c>
      <c r="H213" s="1" t="n">
        <v>372.52</v>
      </c>
      <c r="I213" s="1" t="n">
        <v>432</v>
      </c>
      <c r="J213" s="1" t="n">
        <v>1.15966928</v>
      </c>
    </row>
    <row r="214" customFormat="false" ht="15" hidden="false" customHeight="false" outlineLevel="0" collapsed="false">
      <c r="A214" s="1" t="s">
        <v>19</v>
      </c>
      <c r="B214" s="1" t="n">
        <v>90723</v>
      </c>
      <c r="C214" s="1" t="s">
        <v>15</v>
      </c>
      <c r="D214" s="1" t="s">
        <v>132</v>
      </c>
      <c r="E214" s="1" t="n">
        <v>85001</v>
      </c>
      <c r="F214" s="1" t="s">
        <v>17</v>
      </c>
      <c r="G214" s="1" t="s">
        <v>153</v>
      </c>
      <c r="H214" s="1" t="n">
        <v>372.52</v>
      </c>
      <c r="I214" s="1" t="n">
        <v>479</v>
      </c>
      <c r="J214" s="1" t="n">
        <v>1.285837002</v>
      </c>
    </row>
    <row r="215" customFormat="false" ht="15" hidden="false" customHeight="false" outlineLevel="0" collapsed="false">
      <c r="A215" s="1" t="s">
        <v>19</v>
      </c>
      <c r="B215" s="1" t="n">
        <v>90723</v>
      </c>
      <c r="C215" s="1" t="s">
        <v>15</v>
      </c>
      <c r="D215" s="1" t="s">
        <v>132</v>
      </c>
      <c r="E215" s="1" t="n">
        <v>85001</v>
      </c>
      <c r="F215" s="1" t="s">
        <v>17</v>
      </c>
      <c r="G215" s="1" t="s">
        <v>153</v>
      </c>
      <c r="H215" s="1" t="n">
        <v>372.52</v>
      </c>
      <c r="I215" s="1" t="n">
        <v>685</v>
      </c>
      <c r="J215" s="1" t="n">
        <v>1.838827446</v>
      </c>
    </row>
    <row r="216" customFormat="false" ht="15" hidden="false" customHeight="false" outlineLevel="0" collapsed="false">
      <c r="A216" s="1" t="s">
        <v>19</v>
      </c>
      <c r="B216" s="1" t="n">
        <v>90723</v>
      </c>
      <c r="C216" s="1" t="s">
        <v>15</v>
      </c>
      <c r="D216" s="1" t="s">
        <v>16</v>
      </c>
      <c r="E216" s="1" t="n">
        <v>85701</v>
      </c>
      <c r="F216" s="1" t="s">
        <v>17</v>
      </c>
      <c r="G216" s="1" t="s">
        <v>153</v>
      </c>
      <c r="H216" s="1" t="n">
        <v>484.43</v>
      </c>
      <c r="I216" s="1" t="n">
        <v>487</v>
      </c>
      <c r="J216" s="1" t="n">
        <v>1.005305204</v>
      </c>
    </row>
    <row r="217" customFormat="false" ht="15" hidden="false" customHeight="false" outlineLevel="0" collapsed="false">
      <c r="A217" s="1" t="s">
        <v>19</v>
      </c>
      <c r="B217" s="1" t="n">
        <v>90723</v>
      </c>
      <c r="C217" s="1" t="s">
        <v>15</v>
      </c>
      <c r="D217" s="1" t="s">
        <v>16</v>
      </c>
      <c r="E217" s="1" t="n">
        <v>85701</v>
      </c>
      <c r="F217" s="1" t="s">
        <v>17</v>
      </c>
      <c r="G217" s="1" t="s">
        <v>153</v>
      </c>
      <c r="H217" s="1" t="n">
        <v>484.43</v>
      </c>
      <c r="I217" s="1" t="n">
        <v>539</v>
      </c>
      <c r="J217" s="1" t="n">
        <v>1.112647854</v>
      </c>
    </row>
    <row r="218" customFormat="false" ht="15" hidden="false" customHeight="false" outlineLevel="0" collapsed="false">
      <c r="A218" s="1" t="s">
        <v>19</v>
      </c>
      <c r="B218" s="1" t="n">
        <v>90723</v>
      </c>
      <c r="C218" s="1" t="s">
        <v>15</v>
      </c>
      <c r="D218" s="1" t="s">
        <v>16</v>
      </c>
      <c r="E218" s="1" t="n">
        <v>85701</v>
      </c>
      <c r="F218" s="1" t="s">
        <v>17</v>
      </c>
      <c r="G218" s="1" t="s">
        <v>153</v>
      </c>
      <c r="H218" s="1" t="n">
        <v>484.43</v>
      </c>
      <c r="I218" s="1" t="n">
        <v>544</v>
      </c>
      <c r="J218" s="1" t="n">
        <v>1.122969263</v>
      </c>
    </row>
    <row r="219" customFormat="false" ht="15" hidden="false" customHeight="false" outlineLevel="0" collapsed="false">
      <c r="A219" s="1" t="s">
        <v>19</v>
      </c>
      <c r="B219" s="1" t="n">
        <v>90723</v>
      </c>
      <c r="C219" s="1" t="s">
        <v>15</v>
      </c>
      <c r="D219" s="1" t="s">
        <v>139</v>
      </c>
      <c r="E219" s="1" t="n">
        <v>85364</v>
      </c>
      <c r="F219" s="1" t="s">
        <v>17</v>
      </c>
      <c r="G219" s="1" t="s">
        <v>153</v>
      </c>
      <c r="H219" s="1" t="n">
        <v>278.87</v>
      </c>
      <c r="I219" s="1" t="n">
        <v>386</v>
      </c>
      <c r="J219" s="1" t="n">
        <v>1.384157493</v>
      </c>
    </row>
    <row r="220" customFormat="false" ht="15" hidden="false" customHeight="false" outlineLevel="0" collapsed="false">
      <c r="A220" s="1" t="s">
        <v>19</v>
      </c>
      <c r="B220" s="1" t="n">
        <v>90723</v>
      </c>
      <c r="C220" s="1" t="s">
        <v>15</v>
      </c>
      <c r="D220" s="1" t="s">
        <v>139</v>
      </c>
      <c r="E220" s="1" t="n">
        <v>85364</v>
      </c>
      <c r="F220" s="1" t="s">
        <v>17</v>
      </c>
      <c r="G220" s="1" t="s">
        <v>153</v>
      </c>
      <c r="H220" s="1" t="n">
        <v>278.87</v>
      </c>
      <c r="I220" s="1" t="n">
        <v>470</v>
      </c>
      <c r="J220" s="1" t="n">
        <v>1.685373113</v>
      </c>
    </row>
    <row r="221" customFormat="false" ht="15" hidden="false" customHeight="false" outlineLevel="0" collapsed="false">
      <c r="A221" s="1" t="s">
        <v>19</v>
      </c>
      <c r="B221" s="1" t="n">
        <v>90723</v>
      </c>
      <c r="C221" s="1" t="s">
        <v>15</v>
      </c>
      <c r="D221" s="1" t="s">
        <v>139</v>
      </c>
      <c r="E221" s="1" t="n">
        <v>85364</v>
      </c>
      <c r="F221" s="1" t="s">
        <v>17</v>
      </c>
      <c r="G221" s="1" t="s">
        <v>153</v>
      </c>
      <c r="H221" s="1" t="n">
        <v>278.87</v>
      </c>
      <c r="I221" s="1" t="n">
        <v>479</v>
      </c>
      <c r="J221" s="1" t="n">
        <v>1.717646215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2025-09-24T13:05:30Z</dcterms:created>
  <dc:creator>Aldo Flores</dc:creator>
  <dc:description/>
  <dc:language>en-US</dc:language>
  <cp:lastModifiedBy/>
  <dcterms:modified xsi:type="dcterms:W3CDTF">2025-11-04T15:29:32Z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